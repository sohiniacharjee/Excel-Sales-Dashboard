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EXCEL FINAL PROJECT AND VIVA\"/>
    </mc:Choice>
  </mc:AlternateContent>
  <xr:revisionPtr revIDLastSave="0" documentId="13_ncr:1_{D7BCC99D-2049-4F5B-B075-EC58931BDD96}" xr6:coauthVersionLast="47" xr6:coauthVersionMax="47" xr10:uidLastSave="{00000000-0000-0000-0000-000000000000}"/>
  <bookViews>
    <workbookView xWindow="-108" yWindow="-108" windowWidth="23256" windowHeight="12456" activeTab="2" xr2:uid="{9E34786C-F77A-4542-B5C2-E821428049CE}"/>
  </bookViews>
  <sheets>
    <sheet name="REPORT" sheetId="8" r:id="rId1"/>
    <sheet name="ABOUT US" sheetId="5" r:id="rId2"/>
    <sheet name="DASHBOARD" sheetId="6" r:id="rId3"/>
  </sheets>
  <definedNames>
    <definedName name="NativeTimeline_Date">#N/A</definedName>
    <definedName name="Slicer_Item">#N/A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8" l="1"/>
  <c r="N7" i="8"/>
</calcChain>
</file>

<file path=xl/sharedStrings.xml><?xml version="1.0" encoding="utf-8"?>
<sst xmlns="http://schemas.openxmlformats.org/spreadsheetml/2006/main" count="141" uniqueCount="36">
  <si>
    <t>Date</t>
  </si>
  <si>
    <t>Region</t>
  </si>
  <si>
    <t>North</t>
  </si>
  <si>
    <t>South</t>
  </si>
  <si>
    <t>East</t>
  </si>
  <si>
    <t>West</t>
  </si>
  <si>
    <t>Row Labels</t>
  </si>
  <si>
    <t>Grand Total</t>
  </si>
  <si>
    <t>Sl No</t>
  </si>
  <si>
    <t>Customer</t>
  </si>
  <si>
    <t>Item</t>
  </si>
  <si>
    <t>Qty</t>
  </si>
  <si>
    <t>Price</t>
  </si>
  <si>
    <t>Amount</t>
  </si>
  <si>
    <t>Emily Johnson</t>
  </si>
  <si>
    <t>Notebook</t>
  </si>
  <si>
    <t>Olivia Brown</t>
  </si>
  <si>
    <t>Charger</t>
  </si>
  <si>
    <t>Ramesh Kumar</t>
  </si>
  <si>
    <t>Backpack</t>
  </si>
  <si>
    <t>Maria Angelica</t>
  </si>
  <si>
    <t>Pen Set</t>
  </si>
  <si>
    <t>Mohammad Ali</t>
  </si>
  <si>
    <t>Desk Lamp</t>
  </si>
  <si>
    <t>Fatima Al Mak</t>
  </si>
  <si>
    <t>Chair</t>
  </si>
  <si>
    <t>Ethan Lee</t>
  </si>
  <si>
    <t>Ava Jenkins</t>
  </si>
  <si>
    <t>USB Drive</t>
  </si>
  <si>
    <t>Lukas Müller</t>
  </si>
  <si>
    <t>Yui Nakamura</t>
  </si>
  <si>
    <t>Yuki Nakamura</t>
  </si>
  <si>
    <t>Sep</t>
  </si>
  <si>
    <t>Oct</t>
  </si>
  <si>
    <t>Sum of Amount</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</si>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</sst>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4" fontId="0" fillId="0" borderId="0" xfId="0" applyNumberFormat="1" applyAlignment="1">
      <alignment vertical="center" wrapText="1"/>
    </xf>
    <xf numFmtId="3" fontId="0" fillId="0" borderId="0" xfId="0" applyNumberFormat="1"/>
  </cellXfs>
  <cellStyles count="1">
    <cellStyle name="Normal" xfId="0" builtinId="0"/>
  </cellStyles>
  <dxfs count="1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9933"/>
      <color rgb="FF009E47"/>
      <color rgb="FFA7D971"/>
      <color rgb="FFB8E08C"/>
      <color rgb="FF8DC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TABLE.xlsx]REPORT!PivotTable7</c:name>
    <c:fmtId val="0"/>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REPORT!$H$3</c:f>
              <c:strCache>
                <c:ptCount val="1"/>
                <c:pt idx="0">
                  <c:v>Total</c:v>
                </c:pt>
              </c:strCache>
            </c:strRef>
          </c:tx>
          <c:spPr>
            <a:solidFill>
              <a:schemeClr val="accent6"/>
            </a:solidFill>
            <a:ln>
              <a:noFill/>
            </a:ln>
            <a:effectLst/>
            <a:sp3d/>
          </c:spPr>
          <c:invertIfNegative val="0"/>
          <c:cat>
            <c:strRef>
              <c:f>REPORT!$G$4:$G$8</c:f>
              <c:strCache>
                <c:ptCount val="4"/>
                <c:pt idx="0">
                  <c:v>East</c:v>
                </c:pt>
                <c:pt idx="1">
                  <c:v>North</c:v>
                </c:pt>
                <c:pt idx="2">
                  <c:v>South</c:v>
                </c:pt>
                <c:pt idx="3">
                  <c:v>West</c:v>
                </c:pt>
              </c:strCache>
            </c:strRef>
          </c:cat>
          <c:val>
            <c:numRef>
              <c:f>REPORT!$H$4:$H$8</c:f>
              <c:numCache>
                <c:formatCode>General</c:formatCode>
                <c:ptCount val="4"/>
                <c:pt idx="0">
                  <c:v>318000</c:v>
                </c:pt>
                <c:pt idx="1">
                  <c:v>64100</c:v>
                </c:pt>
                <c:pt idx="2">
                  <c:v>111550</c:v>
                </c:pt>
                <c:pt idx="3">
                  <c:v>687950</c:v>
                </c:pt>
              </c:numCache>
            </c:numRef>
          </c:val>
          <c:extLst>
            <c:ext xmlns:c16="http://schemas.microsoft.com/office/drawing/2014/chart" uri="{C3380CC4-5D6E-409C-BE32-E72D297353CC}">
              <c16:uniqueId val="{00000000-18EC-4A7C-B19E-F3018B3121D9}"/>
            </c:ext>
          </c:extLst>
        </c:ser>
        <c:dLbls>
          <c:showLegendKey val="0"/>
          <c:showVal val="0"/>
          <c:showCatName val="0"/>
          <c:showSerName val="0"/>
          <c:showPercent val="0"/>
          <c:showBubbleSize val="0"/>
        </c:dLbls>
        <c:gapWidth val="150"/>
        <c:shape val="box"/>
        <c:axId val="1065498352"/>
        <c:axId val="421011376"/>
        <c:axId val="0"/>
      </c:bar3DChart>
      <c:catAx>
        <c:axId val="1065498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11376"/>
        <c:crosses val="autoZero"/>
        <c:auto val="1"/>
        <c:lblAlgn val="ctr"/>
        <c:lblOffset val="100"/>
        <c:noMultiLvlLbl val="0"/>
      </c:catAx>
      <c:valAx>
        <c:axId val="421011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4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TABLE.xlsx]REPORT!PivotTable8</c:name>
    <c:fmtId val="1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53817103797277"/>
          <c:y val="8.9445438282647588E-2"/>
          <c:w val="0.83633353159991697"/>
          <c:h val="0.796074730372478"/>
        </c:manualLayout>
      </c:layout>
      <c:areaChart>
        <c:grouping val="standard"/>
        <c:varyColors val="0"/>
        <c:ser>
          <c:idx val="0"/>
          <c:order val="0"/>
          <c:tx>
            <c:strRef>
              <c:f>REPORT!$K$3</c:f>
              <c:strCache>
                <c:ptCount val="1"/>
                <c:pt idx="0">
                  <c:v>Total</c:v>
                </c:pt>
              </c:strCache>
            </c:strRef>
          </c:tx>
          <c:spPr>
            <a:solidFill>
              <a:schemeClr val="accent6"/>
            </a:solidFill>
            <a:ln>
              <a:noFill/>
            </a:ln>
            <a:effectLst/>
          </c:spPr>
          <c:cat>
            <c:strRef>
              <c:f>REPORT!$J$4:$J$6</c:f>
              <c:strCache>
                <c:ptCount val="2"/>
                <c:pt idx="0">
                  <c:v>Sep</c:v>
                </c:pt>
                <c:pt idx="1">
                  <c:v>Oct</c:v>
                </c:pt>
              </c:strCache>
            </c:strRef>
          </c:cat>
          <c:val>
            <c:numRef>
              <c:f>REPORT!$K$4:$K$6</c:f>
              <c:numCache>
                <c:formatCode>General</c:formatCode>
                <c:ptCount val="2"/>
                <c:pt idx="0">
                  <c:v>574500</c:v>
                </c:pt>
                <c:pt idx="1">
                  <c:v>607100</c:v>
                </c:pt>
              </c:numCache>
            </c:numRef>
          </c:val>
          <c:extLst>
            <c:ext xmlns:c16="http://schemas.microsoft.com/office/drawing/2014/chart" uri="{C3380CC4-5D6E-409C-BE32-E72D297353CC}">
              <c16:uniqueId val="{00000000-B75C-44A9-9C46-49F3C8F7343A}"/>
            </c:ext>
          </c:extLst>
        </c:ser>
        <c:dLbls>
          <c:showLegendKey val="0"/>
          <c:showVal val="0"/>
          <c:showCatName val="0"/>
          <c:showSerName val="0"/>
          <c:showPercent val="0"/>
          <c:showBubbleSize val="0"/>
        </c:dLbls>
        <c:axId val="334126864"/>
        <c:axId val="421000816"/>
      </c:areaChart>
      <c:catAx>
        <c:axId val="33412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00816"/>
        <c:crosses val="autoZero"/>
        <c:auto val="1"/>
        <c:lblAlgn val="ctr"/>
        <c:lblOffset val="100"/>
        <c:noMultiLvlLbl val="0"/>
      </c:catAx>
      <c:valAx>
        <c:axId val="42100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26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TABLE.xlsx]REPORT!PivotTable9</c:name>
    <c:fmtId val="20"/>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344925634295695E-2"/>
          <c:y val="7.407407407407407E-2"/>
          <c:w val="0.87232174103237092"/>
          <c:h val="0.79081802274715662"/>
        </c:manualLayout>
      </c:layout>
      <c:bar3DChart>
        <c:barDir val="col"/>
        <c:grouping val="percentStacked"/>
        <c:varyColors val="0"/>
        <c:ser>
          <c:idx val="0"/>
          <c:order val="0"/>
          <c:tx>
            <c:strRef>
              <c:f>REPORT!$K$10</c:f>
              <c:strCache>
                <c:ptCount val="1"/>
                <c:pt idx="0">
                  <c:v>Total</c:v>
                </c:pt>
              </c:strCache>
            </c:strRef>
          </c:tx>
          <c:spPr>
            <a:solidFill>
              <a:schemeClr val="accent6"/>
            </a:solidFill>
            <a:ln>
              <a:noFill/>
            </a:ln>
            <a:effectLst/>
            <a:sp3d/>
          </c:spPr>
          <c:invertIfNegative val="0"/>
          <c:cat>
            <c:strRef>
              <c:f>REPORT!$J$11:$J$18</c:f>
              <c:strCache>
                <c:ptCount val="7"/>
                <c:pt idx="0">
                  <c:v>Backpack</c:v>
                </c:pt>
                <c:pt idx="1">
                  <c:v>Chair</c:v>
                </c:pt>
                <c:pt idx="2">
                  <c:v>Charger</c:v>
                </c:pt>
                <c:pt idx="3">
                  <c:v>Desk Lamp</c:v>
                </c:pt>
                <c:pt idx="4">
                  <c:v>Notebook</c:v>
                </c:pt>
                <c:pt idx="5">
                  <c:v>Pen Set</c:v>
                </c:pt>
                <c:pt idx="6">
                  <c:v>USB Drive</c:v>
                </c:pt>
              </c:strCache>
            </c:strRef>
          </c:cat>
          <c:val>
            <c:numRef>
              <c:f>REPORT!$K$11:$K$18</c:f>
              <c:numCache>
                <c:formatCode>General</c:formatCode>
                <c:ptCount val="7"/>
                <c:pt idx="0">
                  <c:v>102800</c:v>
                </c:pt>
                <c:pt idx="1">
                  <c:v>44800</c:v>
                </c:pt>
                <c:pt idx="2">
                  <c:v>86050</c:v>
                </c:pt>
                <c:pt idx="3">
                  <c:v>815700</c:v>
                </c:pt>
                <c:pt idx="4">
                  <c:v>7300</c:v>
                </c:pt>
                <c:pt idx="5">
                  <c:v>48950</c:v>
                </c:pt>
                <c:pt idx="6">
                  <c:v>76000</c:v>
                </c:pt>
              </c:numCache>
            </c:numRef>
          </c:val>
          <c:extLst>
            <c:ext xmlns:c16="http://schemas.microsoft.com/office/drawing/2014/chart" uri="{C3380CC4-5D6E-409C-BE32-E72D297353CC}">
              <c16:uniqueId val="{00000000-3116-4EB6-A55F-FE47308F2704}"/>
            </c:ext>
          </c:extLst>
        </c:ser>
        <c:dLbls>
          <c:showLegendKey val="0"/>
          <c:showVal val="0"/>
          <c:showCatName val="0"/>
          <c:showSerName val="0"/>
          <c:showPercent val="0"/>
          <c:showBubbleSize val="0"/>
        </c:dLbls>
        <c:gapWidth val="150"/>
        <c:shape val="box"/>
        <c:axId val="1078281888"/>
        <c:axId val="421006576"/>
        <c:axId val="0"/>
      </c:bar3DChart>
      <c:catAx>
        <c:axId val="107828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06576"/>
        <c:crosses val="autoZero"/>
        <c:auto val="1"/>
        <c:lblAlgn val="ctr"/>
        <c:lblOffset val="100"/>
        <c:noMultiLvlLbl val="0"/>
      </c:catAx>
      <c:valAx>
        <c:axId val="4210065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28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TABLE.xlsx]REPORT!PivotTable7</c:name>
    <c:fmtId val="6"/>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29529173528177"/>
          <c:y val="0.11247443762781185"/>
          <c:w val="0.8360597170520645"/>
          <c:h val="0.70144920535239841"/>
        </c:manualLayout>
      </c:layout>
      <c:bar3DChart>
        <c:barDir val="bar"/>
        <c:grouping val="clustered"/>
        <c:varyColors val="0"/>
        <c:ser>
          <c:idx val="0"/>
          <c:order val="0"/>
          <c:tx>
            <c:strRef>
              <c:f>REPORT!$H$3</c:f>
              <c:strCache>
                <c:ptCount val="1"/>
                <c:pt idx="0">
                  <c:v>Total</c:v>
                </c:pt>
              </c:strCache>
            </c:strRef>
          </c:tx>
          <c:spPr>
            <a:solidFill>
              <a:schemeClr val="accent6"/>
            </a:solidFill>
            <a:ln>
              <a:noFill/>
            </a:ln>
            <a:effectLst/>
            <a:sp3d/>
          </c:spPr>
          <c:invertIfNegative val="0"/>
          <c:cat>
            <c:strRef>
              <c:f>REPORT!$G$4:$G$8</c:f>
              <c:strCache>
                <c:ptCount val="4"/>
                <c:pt idx="0">
                  <c:v>East</c:v>
                </c:pt>
                <c:pt idx="1">
                  <c:v>North</c:v>
                </c:pt>
                <c:pt idx="2">
                  <c:v>South</c:v>
                </c:pt>
                <c:pt idx="3">
                  <c:v>West</c:v>
                </c:pt>
              </c:strCache>
            </c:strRef>
          </c:cat>
          <c:val>
            <c:numRef>
              <c:f>REPORT!$H$4:$H$8</c:f>
              <c:numCache>
                <c:formatCode>General</c:formatCode>
                <c:ptCount val="4"/>
                <c:pt idx="0">
                  <c:v>318000</c:v>
                </c:pt>
                <c:pt idx="1">
                  <c:v>64100</c:v>
                </c:pt>
                <c:pt idx="2">
                  <c:v>111550</c:v>
                </c:pt>
                <c:pt idx="3">
                  <c:v>687950</c:v>
                </c:pt>
              </c:numCache>
            </c:numRef>
          </c:val>
          <c:extLst>
            <c:ext xmlns:c16="http://schemas.microsoft.com/office/drawing/2014/chart" uri="{C3380CC4-5D6E-409C-BE32-E72D297353CC}">
              <c16:uniqueId val="{00000000-8FF0-4153-A875-0A8611BD723D}"/>
            </c:ext>
          </c:extLst>
        </c:ser>
        <c:dLbls>
          <c:showLegendKey val="0"/>
          <c:showVal val="0"/>
          <c:showCatName val="0"/>
          <c:showSerName val="0"/>
          <c:showPercent val="0"/>
          <c:showBubbleSize val="0"/>
        </c:dLbls>
        <c:gapWidth val="150"/>
        <c:shape val="box"/>
        <c:axId val="1065498352"/>
        <c:axId val="421011376"/>
        <c:axId val="0"/>
      </c:bar3DChart>
      <c:catAx>
        <c:axId val="1065498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11376"/>
        <c:crosses val="autoZero"/>
        <c:auto val="1"/>
        <c:lblAlgn val="ctr"/>
        <c:lblOffset val="100"/>
        <c:noMultiLvlLbl val="0"/>
      </c:catAx>
      <c:valAx>
        <c:axId val="421011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4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TABLE.xlsx]REPORT!PivotTable8</c:name>
    <c:fmtId val="1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53817103797277"/>
          <c:y val="8.9445438282647588E-2"/>
          <c:w val="0.83633353159991697"/>
          <c:h val="0.796074730372478"/>
        </c:manualLayout>
      </c:layout>
      <c:areaChart>
        <c:grouping val="stacked"/>
        <c:varyColors val="0"/>
        <c:ser>
          <c:idx val="0"/>
          <c:order val="0"/>
          <c:tx>
            <c:strRef>
              <c:f>REPORT!$K$3</c:f>
              <c:strCache>
                <c:ptCount val="1"/>
                <c:pt idx="0">
                  <c:v>Total</c:v>
                </c:pt>
              </c:strCache>
            </c:strRef>
          </c:tx>
          <c:spPr>
            <a:solidFill>
              <a:schemeClr val="accent6"/>
            </a:solidFill>
            <a:ln>
              <a:noFill/>
            </a:ln>
            <a:effectLst/>
          </c:spPr>
          <c:cat>
            <c:strRef>
              <c:f>REPORT!$J$4:$J$6</c:f>
              <c:strCache>
                <c:ptCount val="2"/>
                <c:pt idx="0">
                  <c:v>Sep</c:v>
                </c:pt>
                <c:pt idx="1">
                  <c:v>Oct</c:v>
                </c:pt>
              </c:strCache>
            </c:strRef>
          </c:cat>
          <c:val>
            <c:numRef>
              <c:f>REPORT!$K$4:$K$6</c:f>
              <c:numCache>
                <c:formatCode>General</c:formatCode>
                <c:ptCount val="2"/>
                <c:pt idx="0">
                  <c:v>574500</c:v>
                </c:pt>
                <c:pt idx="1">
                  <c:v>607100</c:v>
                </c:pt>
              </c:numCache>
            </c:numRef>
          </c:val>
          <c:extLst>
            <c:ext xmlns:c16="http://schemas.microsoft.com/office/drawing/2014/chart" uri="{C3380CC4-5D6E-409C-BE32-E72D297353CC}">
              <c16:uniqueId val="{00000000-9EB1-4AFC-922B-DCA5562499C8}"/>
            </c:ext>
          </c:extLst>
        </c:ser>
        <c:dLbls>
          <c:showLegendKey val="0"/>
          <c:showVal val="0"/>
          <c:showCatName val="0"/>
          <c:showSerName val="0"/>
          <c:showPercent val="0"/>
          <c:showBubbleSize val="0"/>
        </c:dLbls>
        <c:axId val="334126864"/>
        <c:axId val="421000816"/>
      </c:areaChart>
      <c:catAx>
        <c:axId val="33412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00816"/>
        <c:crosses val="autoZero"/>
        <c:auto val="1"/>
        <c:lblAlgn val="ctr"/>
        <c:lblOffset val="100"/>
        <c:noMultiLvlLbl val="0"/>
      </c:catAx>
      <c:valAx>
        <c:axId val="42100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26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TABLE.xlsx]REPORT!PivotTable9</c:name>
    <c:fmtId val="22"/>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344925634295695E-2"/>
          <c:y val="7.407407407407407E-2"/>
          <c:w val="0.87232174103237092"/>
          <c:h val="0.79081802274715662"/>
        </c:manualLayout>
      </c:layout>
      <c:bar3DChart>
        <c:barDir val="col"/>
        <c:grouping val="percentStacked"/>
        <c:varyColors val="0"/>
        <c:ser>
          <c:idx val="0"/>
          <c:order val="0"/>
          <c:tx>
            <c:strRef>
              <c:f>REPORT!$K$10</c:f>
              <c:strCache>
                <c:ptCount val="1"/>
                <c:pt idx="0">
                  <c:v>Total</c:v>
                </c:pt>
              </c:strCache>
            </c:strRef>
          </c:tx>
          <c:spPr>
            <a:solidFill>
              <a:schemeClr val="accent6"/>
            </a:solidFill>
            <a:ln>
              <a:noFill/>
            </a:ln>
            <a:effectLst/>
            <a:sp3d/>
          </c:spPr>
          <c:invertIfNegative val="0"/>
          <c:cat>
            <c:strRef>
              <c:f>REPORT!$J$11:$J$18</c:f>
              <c:strCache>
                <c:ptCount val="7"/>
                <c:pt idx="0">
                  <c:v>Backpack</c:v>
                </c:pt>
                <c:pt idx="1">
                  <c:v>Chair</c:v>
                </c:pt>
                <c:pt idx="2">
                  <c:v>Charger</c:v>
                </c:pt>
                <c:pt idx="3">
                  <c:v>Desk Lamp</c:v>
                </c:pt>
                <c:pt idx="4">
                  <c:v>Notebook</c:v>
                </c:pt>
                <c:pt idx="5">
                  <c:v>Pen Set</c:v>
                </c:pt>
                <c:pt idx="6">
                  <c:v>USB Drive</c:v>
                </c:pt>
              </c:strCache>
            </c:strRef>
          </c:cat>
          <c:val>
            <c:numRef>
              <c:f>REPORT!$K$11:$K$18</c:f>
              <c:numCache>
                <c:formatCode>General</c:formatCode>
                <c:ptCount val="7"/>
                <c:pt idx="0">
                  <c:v>102800</c:v>
                </c:pt>
                <c:pt idx="1">
                  <c:v>44800</c:v>
                </c:pt>
                <c:pt idx="2">
                  <c:v>86050</c:v>
                </c:pt>
                <c:pt idx="3">
                  <c:v>815700</c:v>
                </c:pt>
                <c:pt idx="4">
                  <c:v>7300</c:v>
                </c:pt>
                <c:pt idx="5">
                  <c:v>48950</c:v>
                </c:pt>
                <c:pt idx="6">
                  <c:v>76000</c:v>
                </c:pt>
              </c:numCache>
            </c:numRef>
          </c:val>
          <c:extLst>
            <c:ext xmlns:c16="http://schemas.microsoft.com/office/drawing/2014/chart" uri="{C3380CC4-5D6E-409C-BE32-E72D297353CC}">
              <c16:uniqueId val="{00000000-9C97-4BF5-8752-8C9D16658DFB}"/>
            </c:ext>
          </c:extLst>
        </c:ser>
        <c:dLbls>
          <c:showLegendKey val="0"/>
          <c:showVal val="0"/>
          <c:showCatName val="0"/>
          <c:showSerName val="0"/>
          <c:showPercent val="0"/>
          <c:showBubbleSize val="0"/>
        </c:dLbls>
        <c:gapWidth val="150"/>
        <c:shape val="box"/>
        <c:axId val="1078281888"/>
        <c:axId val="421006576"/>
        <c:axId val="0"/>
      </c:bar3DChart>
      <c:catAx>
        <c:axId val="107828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06576"/>
        <c:crosses val="autoZero"/>
        <c:auto val="1"/>
        <c:lblAlgn val="ctr"/>
        <c:lblOffset val="100"/>
        <c:noMultiLvlLbl val="0"/>
      </c:catAx>
      <c:valAx>
        <c:axId val="4210065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28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ABOUT US'!A1"/><Relationship Id="rId7" Type="http://schemas.openxmlformats.org/officeDocument/2006/relationships/image" Target="../media/image4.svg"/><Relationship Id="rId12" Type="http://schemas.openxmlformats.org/officeDocument/2006/relationships/chart" Target="../charts/chart6.xml"/><Relationship Id="rId2" Type="http://schemas.openxmlformats.org/officeDocument/2006/relationships/hyperlink" Target="#DASHBOARD!A1"/><Relationship Id="rId1" Type="http://schemas.openxmlformats.org/officeDocument/2006/relationships/hyperlink" Target="#REPORT!A1"/><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image" Target="../media/image2.svg"/><Relationship Id="rId10" Type="http://schemas.openxmlformats.org/officeDocument/2006/relationships/chart" Target="../charts/chart4.xml"/><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11</xdr:row>
      <xdr:rowOff>45720</xdr:rowOff>
    </xdr:from>
    <xdr:to>
      <xdr:col>7</xdr:col>
      <xdr:colOff>723900</xdr:colOff>
      <xdr:row>16</xdr:row>
      <xdr:rowOff>53340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B6517925-9CD4-6B0B-E1B6-56D54C35B4D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0480" y="2057400"/>
              <a:ext cx="59664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15240</xdr:colOff>
      <xdr:row>16</xdr:row>
      <xdr:rowOff>152401</xdr:rowOff>
    </xdr:from>
    <xdr:to>
      <xdr:col>3</xdr:col>
      <xdr:colOff>419100</xdr:colOff>
      <xdr:row>23</xdr:row>
      <xdr:rowOff>76201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89ABBAF-A4F2-8995-9B72-73FF9AE94A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3078481"/>
              <a:ext cx="273558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160021</xdr:rowOff>
    </xdr:from>
    <xdr:to>
      <xdr:col>6</xdr:col>
      <xdr:colOff>114300</xdr:colOff>
      <xdr:row>27</xdr:row>
      <xdr:rowOff>99060</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1F56A845-45A0-D618-29A6-364EA3A54E67}"/>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0" y="4366261"/>
              <a:ext cx="452628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480060</xdr:colOff>
      <xdr:row>19</xdr:row>
      <xdr:rowOff>22860</xdr:rowOff>
    </xdr:from>
    <xdr:to>
      <xdr:col>13</xdr:col>
      <xdr:colOff>121920</xdr:colOff>
      <xdr:row>28</xdr:row>
      <xdr:rowOff>34290</xdr:rowOff>
    </xdr:to>
    <xdr:graphicFrame macro="">
      <xdr:nvGraphicFramePr>
        <xdr:cNvPr id="5" name="Chart 4">
          <a:extLst>
            <a:ext uri="{FF2B5EF4-FFF2-40B4-BE49-F238E27FC236}">
              <a16:creationId xmlns:a16="http://schemas.microsoft.com/office/drawing/2014/main" id="{DD0962E0-9E22-804C-7296-4FE23A205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30</xdr:row>
      <xdr:rowOff>0</xdr:rowOff>
    </xdr:from>
    <xdr:to>
      <xdr:col>6</xdr:col>
      <xdr:colOff>685800</xdr:colOff>
      <xdr:row>41</xdr:row>
      <xdr:rowOff>76200</xdr:rowOff>
    </xdr:to>
    <xdr:graphicFrame macro="">
      <xdr:nvGraphicFramePr>
        <xdr:cNvPr id="7" name="Chart 6">
          <a:extLst>
            <a:ext uri="{FF2B5EF4-FFF2-40B4-BE49-F238E27FC236}">
              <a16:creationId xmlns:a16="http://schemas.microsoft.com/office/drawing/2014/main" id="{B948CDB6-4C3D-4DD9-81F7-4177515D8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43</xdr:row>
      <xdr:rowOff>38100</xdr:rowOff>
    </xdr:from>
    <xdr:to>
      <xdr:col>6</xdr:col>
      <xdr:colOff>441960</xdr:colOff>
      <xdr:row>49</xdr:row>
      <xdr:rowOff>129540</xdr:rowOff>
    </xdr:to>
    <xdr:graphicFrame macro="">
      <xdr:nvGraphicFramePr>
        <xdr:cNvPr id="9" name="Chart 8">
          <a:extLst>
            <a:ext uri="{FF2B5EF4-FFF2-40B4-BE49-F238E27FC236}">
              <a16:creationId xmlns:a16="http://schemas.microsoft.com/office/drawing/2014/main" id="{2A63B6AB-3F99-4B71-9EC6-84BC9928C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0</xdr:rowOff>
    </xdr:from>
    <xdr:to>
      <xdr:col>23</xdr:col>
      <xdr:colOff>350520</xdr:colOff>
      <xdr:row>31</xdr:row>
      <xdr:rowOff>129540</xdr:rowOff>
    </xdr:to>
    <xdr:sp macro="" textlink="">
      <xdr:nvSpPr>
        <xdr:cNvPr id="2" name="Rectangle 1">
          <a:extLst>
            <a:ext uri="{FF2B5EF4-FFF2-40B4-BE49-F238E27FC236}">
              <a16:creationId xmlns:a16="http://schemas.microsoft.com/office/drawing/2014/main" id="{58351CA5-BC25-2F79-D7CD-494C8ABF68E5}"/>
            </a:ext>
          </a:extLst>
        </xdr:cNvPr>
        <xdr:cNvSpPr/>
      </xdr:nvSpPr>
      <xdr:spPr>
        <a:xfrm>
          <a:off x="30480" y="0"/>
          <a:ext cx="14340840" cy="5798820"/>
        </a:xfrm>
        <a:prstGeom prst="rect">
          <a:avLst/>
        </a:prstGeom>
        <a:solidFill>
          <a:srgbClr val="009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121920</xdr:colOff>
      <xdr:row>0</xdr:row>
      <xdr:rowOff>0</xdr:rowOff>
    </xdr:from>
    <xdr:to>
      <xdr:col>21</xdr:col>
      <xdr:colOff>434340</xdr:colOff>
      <xdr:row>31</xdr:row>
      <xdr:rowOff>60960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9ACF182E-58E9-BA5F-6082-167104437652}"/>
            </a:ext>
          </a:extLst>
        </xdr:cNvPr>
        <xdr:cNvSpPr/>
      </xdr:nvSpPr>
      <xdr:spPr>
        <a:xfrm>
          <a:off x="1950720" y="0"/>
          <a:ext cx="11285220" cy="5730240"/>
        </a:xfrm>
        <a:prstGeom prst="roundRect">
          <a:avLst>
            <a:gd name="adj" fmla="val 10034"/>
          </a:avLst>
        </a:prstGeom>
        <a:solidFill>
          <a:srgbClr val="A7D9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335279</xdr:colOff>
      <xdr:row>0</xdr:row>
      <xdr:rowOff>121920</xdr:rowOff>
    </xdr:from>
    <xdr:to>
      <xdr:col>14</xdr:col>
      <xdr:colOff>440267</xdr:colOff>
      <xdr:row>5</xdr:row>
      <xdr:rowOff>99060</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E18A0876-A10D-4927-9BEA-B3A27878571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773680" y="121920"/>
              <a:ext cx="5897880" cy="8915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291254</xdr:colOff>
      <xdr:row>0</xdr:row>
      <xdr:rowOff>121920</xdr:rowOff>
    </xdr:from>
    <xdr:to>
      <xdr:col>19</xdr:col>
      <xdr:colOff>321734</xdr:colOff>
      <xdr:row>5</xdr:row>
      <xdr:rowOff>83820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CE4A023E-A4B6-47FD-8F9D-4284AA96C78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482388" y="121920"/>
              <a:ext cx="2481449" cy="865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220980</xdr:colOff>
      <xdr:row>6</xdr:row>
      <xdr:rowOff>38100</xdr:rowOff>
    </xdr:from>
    <xdr:to>
      <xdr:col>2</xdr:col>
      <xdr:colOff>381000</xdr:colOff>
      <xdr:row>8</xdr:row>
      <xdr:rowOff>99060</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3A7D6D72-C4E0-C31C-C534-16080037496F}"/>
            </a:ext>
          </a:extLst>
        </xdr:cNvPr>
        <xdr:cNvSpPr/>
      </xdr:nvSpPr>
      <xdr:spPr>
        <a:xfrm>
          <a:off x="220980" y="1135380"/>
          <a:ext cx="1379220" cy="426720"/>
        </a:xfrm>
        <a:prstGeom prst="roundRect">
          <a:avLst>
            <a:gd name="adj" fmla="val 36310"/>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0B050"/>
              </a:solidFill>
            </a:rPr>
            <a:t>Dashboard</a:t>
          </a:r>
        </a:p>
      </xdr:txBody>
    </xdr:sp>
    <xdr:clientData/>
  </xdr:twoCellAnchor>
  <xdr:twoCellAnchor>
    <xdr:from>
      <xdr:col>0</xdr:col>
      <xdr:colOff>186690</xdr:colOff>
      <xdr:row>10</xdr:row>
      <xdr:rowOff>60960</xdr:rowOff>
    </xdr:from>
    <xdr:to>
      <xdr:col>2</xdr:col>
      <xdr:colOff>346710</xdr:colOff>
      <xdr:row>12</xdr:row>
      <xdr:rowOff>121920</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44F57EAD-563E-431A-A5FD-575AEB6A2B2D}"/>
            </a:ext>
          </a:extLst>
        </xdr:cNvPr>
        <xdr:cNvSpPr/>
      </xdr:nvSpPr>
      <xdr:spPr>
        <a:xfrm>
          <a:off x="186690" y="1889760"/>
          <a:ext cx="1379220" cy="426720"/>
        </a:xfrm>
        <a:prstGeom prst="roundRect">
          <a:avLst>
            <a:gd name="adj" fmla="val 36310"/>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0B050"/>
              </a:solidFill>
            </a:rPr>
            <a:t>Reports</a:t>
          </a:r>
        </a:p>
      </xdr:txBody>
    </xdr:sp>
    <xdr:clientData/>
  </xdr:twoCellAnchor>
  <xdr:twoCellAnchor>
    <xdr:from>
      <xdr:col>0</xdr:col>
      <xdr:colOff>190500</xdr:colOff>
      <xdr:row>14</xdr:row>
      <xdr:rowOff>53340</xdr:rowOff>
    </xdr:from>
    <xdr:to>
      <xdr:col>2</xdr:col>
      <xdr:colOff>350520</xdr:colOff>
      <xdr:row>16</xdr:row>
      <xdr:rowOff>114300</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6439DFF2-093A-4EC3-864F-4A9CD8C6C4F1}"/>
            </a:ext>
          </a:extLst>
        </xdr:cNvPr>
        <xdr:cNvSpPr/>
      </xdr:nvSpPr>
      <xdr:spPr>
        <a:xfrm>
          <a:off x="190500" y="2613660"/>
          <a:ext cx="1379220" cy="426720"/>
        </a:xfrm>
        <a:prstGeom prst="roundRect">
          <a:avLst>
            <a:gd name="adj" fmla="val 36310"/>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09E47"/>
              </a:solidFill>
            </a:rPr>
            <a:t>About Us</a:t>
          </a:r>
        </a:p>
      </xdr:txBody>
    </xdr:sp>
    <xdr:clientData/>
  </xdr:twoCellAnchor>
  <xdr:twoCellAnchor editAs="oneCell">
    <xdr:from>
      <xdr:col>4</xdr:col>
      <xdr:colOff>236220</xdr:colOff>
      <xdr:row>6</xdr:row>
      <xdr:rowOff>60960</xdr:rowOff>
    </xdr:from>
    <xdr:to>
      <xdr:col>19</xdr:col>
      <xdr:colOff>533400</xdr:colOff>
      <xdr:row>9</xdr:row>
      <xdr:rowOff>167640</xdr:rowOff>
    </xdr:to>
    <mc:AlternateContent xmlns:mc="http://schemas.openxmlformats.org/markup-compatibility/2006" xmlns:a14="http://schemas.microsoft.com/office/drawing/2010/main">
      <mc:Choice Requires="a14">
        <xdr:graphicFrame macro="">
          <xdr:nvGraphicFramePr>
            <xdr:cNvPr id="11" name="Item 1">
              <a:extLst>
                <a:ext uri="{FF2B5EF4-FFF2-40B4-BE49-F238E27FC236}">
                  <a16:creationId xmlns:a16="http://schemas.microsoft.com/office/drawing/2014/main" id="{C4A534B3-1A83-4B34-8D49-8EBC38DA1B4E}"/>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674620" y="1158240"/>
              <a:ext cx="944118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601980</xdr:colOff>
      <xdr:row>12</xdr:row>
      <xdr:rowOff>121920</xdr:rowOff>
    </xdr:from>
    <xdr:to>
      <xdr:col>6</xdr:col>
      <xdr:colOff>320040</xdr:colOff>
      <xdr:row>15</xdr:row>
      <xdr:rowOff>129540</xdr:rowOff>
    </xdr:to>
    <xdr:sp macro="" textlink="">
      <xdr:nvSpPr>
        <xdr:cNvPr id="12" name="Rectangle: Rounded Corners 11">
          <a:extLst>
            <a:ext uri="{FF2B5EF4-FFF2-40B4-BE49-F238E27FC236}">
              <a16:creationId xmlns:a16="http://schemas.microsoft.com/office/drawing/2014/main" id="{D77F9F34-F14C-E88A-7ABA-06D6729D5718}"/>
            </a:ext>
          </a:extLst>
        </xdr:cNvPr>
        <xdr:cNvSpPr/>
      </xdr:nvSpPr>
      <xdr:spPr>
        <a:xfrm>
          <a:off x="2430780" y="2316480"/>
          <a:ext cx="1546860" cy="55626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4</xdr:col>
      <xdr:colOff>129540</xdr:colOff>
      <xdr:row>12</xdr:row>
      <xdr:rowOff>114300</xdr:rowOff>
    </xdr:from>
    <xdr:to>
      <xdr:col>6</xdr:col>
      <xdr:colOff>312420</xdr:colOff>
      <xdr:row>15</xdr:row>
      <xdr:rowOff>144780</xdr:rowOff>
    </xdr:to>
    <xdr:sp macro="" textlink="">
      <xdr:nvSpPr>
        <xdr:cNvPr id="14" name="Rectangle: Rounded Corners 13">
          <a:extLst>
            <a:ext uri="{FF2B5EF4-FFF2-40B4-BE49-F238E27FC236}">
              <a16:creationId xmlns:a16="http://schemas.microsoft.com/office/drawing/2014/main" id="{2D732BB2-5274-4380-B2DF-682019C97B90}"/>
            </a:ext>
          </a:extLst>
        </xdr:cNvPr>
        <xdr:cNvSpPr/>
      </xdr:nvSpPr>
      <xdr:spPr>
        <a:xfrm>
          <a:off x="2567940" y="2308860"/>
          <a:ext cx="1402080" cy="5791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lt1"/>
              </a:solidFill>
              <a:effectLst/>
              <a:latin typeface="+mn-lt"/>
              <a:ea typeface="+mn-ea"/>
              <a:cs typeface="+mn-cs"/>
            </a:rPr>
            <a:t>$</a:t>
          </a:r>
          <a:r>
            <a:rPr lang="en-IN" sz="1800" b="1">
              <a:solidFill>
                <a:schemeClr val="tx1"/>
              </a:solidFill>
            </a:rPr>
            <a:t>      </a:t>
          </a:r>
          <a:r>
            <a:rPr lang="en-IN" sz="2000">
              <a:solidFill>
                <a:schemeClr val="tx1"/>
              </a:solidFill>
              <a:effectLst/>
            </a:rPr>
            <a:t> </a:t>
          </a:r>
        </a:p>
        <a:p>
          <a:pPr algn="ctr"/>
          <a:endParaRPr lang="en-IN" sz="2000">
            <a:solidFill>
              <a:schemeClr val="tx1"/>
            </a:solidFill>
            <a:effectLst/>
          </a:endParaRPr>
        </a:p>
        <a:p>
          <a:pPr algn="l"/>
          <a:endParaRPr lang="en-IN" sz="2000">
            <a:solidFill>
              <a:schemeClr val="tx1"/>
            </a:solidFill>
          </a:endParaRPr>
        </a:p>
      </xdr:txBody>
    </xdr:sp>
    <xdr:clientData/>
  </xdr:twoCellAnchor>
  <xdr:twoCellAnchor>
    <xdr:from>
      <xdr:col>7</xdr:col>
      <xdr:colOff>281940</xdr:colOff>
      <xdr:row>12</xdr:row>
      <xdr:rowOff>121920</xdr:rowOff>
    </xdr:from>
    <xdr:to>
      <xdr:col>9</xdr:col>
      <xdr:colOff>556260</xdr:colOff>
      <xdr:row>15</xdr:row>
      <xdr:rowOff>106680</xdr:rowOff>
    </xdr:to>
    <xdr:sp macro="" textlink="">
      <xdr:nvSpPr>
        <xdr:cNvPr id="16" name="Rectangle: Rounded Corners 15">
          <a:extLst>
            <a:ext uri="{FF2B5EF4-FFF2-40B4-BE49-F238E27FC236}">
              <a16:creationId xmlns:a16="http://schemas.microsoft.com/office/drawing/2014/main" id="{EDC32413-B18F-84BE-4FF1-B10DD064A235}"/>
            </a:ext>
          </a:extLst>
        </xdr:cNvPr>
        <xdr:cNvSpPr/>
      </xdr:nvSpPr>
      <xdr:spPr>
        <a:xfrm>
          <a:off x="4549140" y="2316480"/>
          <a:ext cx="1493520" cy="533400"/>
        </a:xfrm>
        <a:prstGeom prst="roundRect">
          <a:avLst/>
        </a:prstGeom>
        <a:solidFill>
          <a:srgbClr val="FF99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7</xdr:col>
      <xdr:colOff>358140</xdr:colOff>
      <xdr:row>12</xdr:row>
      <xdr:rowOff>121920</xdr:rowOff>
    </xdr:from>
    <xdr:to>
      <xdr:col>9</xdr:col>
      <xdr:colOff>548640</xdr:colOff>
      <xdr:row>15</xdr:row>
      <xdr:rowOff>106680</xdr:rowOff>
    </xdr:to>
    <xdr:sp macro="" textlink="">
      <xdr:nvSpPr>
        <xdr:cNvPr id="17" name="Rectangle: Rounded Corners 16">
          <a:extLst>
            <a:ext uri="{FF2B5EF4-FFF2-40B4-BE49-F238E27FC236}">
              <a16:creationId xmlns:a16="http://schemas.microsoft.com/office/drawing/2014/main" id="{E7E0118E-47D2-43EB-85AF-3C4BD271B353}"/>
            </a:ext>
          </a:extLst>
        </xdr:cNvPr>
        <xdr:cNvSpPr/>
      </xdr:nvSpPr>
      <xdr:spPr>
        <a:xfrm>
          <a:off x="4625340" y="2316480"/>
          <a:ext cx="1409700" cy="533400"/>
        </a:xfrm>
        <a:prstGeom prst="roundRect">
          <a:avLst>
            <a:gd name="adj" fmla="val 2666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                   	</a:t>
          </a:r>
        </a:p>
      </xdr:txBody>
    </xdr:sp>
    <xdr:clientData/>
  </xdr:twoCellAnchor>
  <xdr:twoCellAnchor>
    <xdr:from>
      <xdr:col>4</xdr:col>
      <xdr:colOff>0</xdr:colOff>
      <xdr:row>16</xdr:row>
      <xdr:rowOff>60960</xdr:rowOff>
    </xdr:from>
    <xdr:to>
      <xdr:col>10</xdr:col>
      <xdr:colOff>541020</xdr:colOff>
      <xdr:row>28</xdr:row>
      <xdr:rowOff>137160</xdr:rowOff>
    </xdr:to>
    <xdr:sp macro="" textlink="">
      <xdr:nvSpPr>
        <xdr:cNvPr id="18" name="Rectangle: Rounded Corners 17">
          <a:extLst>
            <a:ext uri="{FF2B5EF4-FFF2-40B4-BE49-F238E27FC236}">
              <a16:creationId xmlns:a16="http://schemas.microsoft.com/office/drawing/2014/main" id="{F8B5D65F-155C-F585-1C7D-ECBA3B27F97B}"/>
            </a:ext>
          </a:extLst>
        </xdr:cNvPr>
        <xdr:cNvSpPr/>
      </xdr:nvSpPr>
      <xdr:spPr>
        <a:xfrm>
          <a:off x="2438400" y="2987040"/>
          <a:ext cx="4198620" cy="227076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Product Sales</a:t>
          </a:r>
        </a:p>
      </xdr:txBody>
    </xdr:sp>
    <xdr:clientData/>
  </xdr:twoCellAnchor>
  <xdr:twoCellAnchor>
    <xdr:from>
      <xdr:col>12</xdr:col>
      <xdr:colOff>525780</xdr:colOff>
      <xdr:row>10</xdr:row>
      <xdr:rowOff>83820</xdr:rowOff>
    </xdr:from>
    <xdr:to>
      <xdr:col>20</xdr:col>
      <xdr:colOff>243840</xdr:colOff>
      <xdr:row>19</xdr:row>
      <xdr:rowOff>99060</xdr:rowOff>
    </xdr:to>
    <xdr:sp macro="" textlink="">
      <xdr:nvSpPr>
        <xdr:cNvPr id="19" name="Rectangle: Rounded Corners 18">
          <a:extLst>
            <a:ext uri="{FF2B5EF4-FFF2-40B4-BE49-F238E27FC236}">
              <a16:creationId xmlns:a16="http://schemas.microsoft.com/office/drawing/2014/main" id="{69DDEBA5-CE7C-4CCE-B001-15685D55C80E}"/>
            </a:ext>
          </a:extLst>
        </xdr:cNvPr>
        <xdr:cNvSpPr/>
      </xdr:nvSpPr>
      <xdr:spPr>
        <a:xfrm>
          <a:off x="7840980" y="1912620"/>
          <a:ext cx="4594860" cy="166116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Regional</a:t>
          </a:r>
          <a:r>
            <a:rPr lang="en-IN" sz="1100" b="1" baseline="0">
              <a:solidFill>
                <a:schemeClr val="tx1"/>
              </a:solidFill>
            </a:rPr>
            <a:t> Sales</a:t>
          </a:r>
          <a:endParaRPr lang="en-IN" sz="1100" b="1">
            <a:solidFill>
              <a:schemeClr val="tx1"/>
            </a:solidFill>
          </a:endParaRPr>
        </a:p>
      </xdr:txBody>
    </xdr:sp>
    <xdr:clientData/>
  </xdr:twoCellAnchor>
  <xdr:twoCellAnchor>
    <xdr:from>
      <xdr:col>12</xdr:col>
      <xdr:colOff>495300</xdr:colOff>
      <xdr:row>20</xdr:row>
      <xdr:rowOff>60960</xdr:rowOff>
    </xdr:from>
    <xdr:to>
      <xdr:col>20</xdr:col>
      <xdr:colOff>304800</xdr:colOff>
      <xdr:row>30</xdr:row>
      <xdr:rowOff>99060</xdr:rowOff>
    </xdr:to>
    <xdr:sp macro="" textlink="">
      <xdr:nvSpPr>
        <xdr:cNvPr id="20" name="Rectangle: Rounded Corners 19">
          <a:extLst>
            <a:ext uri="{FF2B5EF4-FFF2-40B4-BE49-F238E27FC236}">
              <a16:creationId xmlns:a16="http://schemas.microsoft.com/office/drawing/2014/main" id="{2391D666-5265-B8F5-3FEF-6AA7575EB7CD}"/>
            </a:ext>
          </a:extLst>
        </xdr:cNvPr>
        <xdr:cNvSpPr/>
      </xdr:nvSpPr>
      <xdr:spPr>
        <a:xfrm>
          <a:off x="7810500" y="3718560"/>
          <a:ext cx="4686300" cy="186690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tx1"/>
              </a:solidFill>
            </a:rPr>
            <a:t>Monthly</a:t>
          </a:r>
          <a:r>
            <a:rPr lang="en-IN" sz="1100" b="1" baseline="0">
              <a:solidFill>
                <a:schemeClr val="tx1"/>
              </a:solidFill>
            </a:rPr>
            <a:t> Sales Report</a:t>
          </a:r>
          <a:endParaRPr lang="en-IN" sz="1100" b="1">
            <a:solidFill>
              <a:schemeClr val="tx1"/>
            </a:solidFill>
          </a:endParaRPr>
        </a:p>
      </xdr:txBody>
    </xdr:sp>
    <xdr:clientData/>
  </xdr:twoCellAnchor>
  <xdr:twoCellAnchor editAs="oneCell">
    <xdr:from>
      <xdr:col>7</xdr:col>
      <xdr:colOff>502920</xdr:colOff>
      <xdr:row>12</xdr:row>
      <xdr:rowOff>129540</xdr:rowOff>
    </xdr:from>
    <xdr:to>
      <xdr:col>8</xdr:col>
      <xdr:colOff>381000</xdr:colOff>
      <xdr:row>14</xdr:row>
      <xdr:rowOff>99060</xdr:rowOff>
    </xdr:to>
    <xdr:pic>
      <xdr:nvPicPr>
        <xdr:cNvPr id="48" name="Graphic 47" descr="Business Growth with solid fill">
          <a:extLst>
            <a:ext uri="{FF2B5EF4-FFF2-40B4-BE49-F238E27FC236}">
              <a16:creationId xmlns:a16="http://schemas.microsoft.com/office/drawing/2014/main" id="{E1581247-E275-4074-B18E-EB5EFB17756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70120" y="2324100"/>
          <a:ext cx="487680" cy="335280"/>
        </a:xfrm>
        <a:prstGeom prst="rect">
          <a:avLst/>
        </a:prstGeom>
      </xdr:spPr>
    </xdr:pic>
    <xdr:clientData/>
  </xdr:twoCellAnchor>
  <xdr:twoCellAnchor editAs="oneCell">
    <xdr:from>
      <xdr:col>7</xdr:col>
      <xdr:colOff>487680</xdr:colOff>
      <xdr:row>10</xdr:row>
      <xdr:rowOff>30480</xdr:rowOff>
    </xdr:from>
    <xdr:to>
      <xdr:col>8</xdr:col>
      <xdr:colOff>548640</xdr:colOff>
      <xdr:row>12</xdr:row>
      <xdr:rowOff>114300</xdr:rowOff>
    </xdr:to>
    <xdr:pic>
      <xdr:nvPicPr>
        <xdr:cNvPr id="55" name="Graphic 54" descr="Bar chart with solid fill">
          <a:extLst>
            <a:ext uri="{FF2B5EF4-FFF2-40B4-BE49-F238E27FC236}">
              <a16:creationId xmlns:a16="http://schemas.microsoft.com/office/drawing/2014/main" id="{C528D2F7-82E2-4E9B-A85C-52BBAAAA8EC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754880" y="1859280"/>
          <a:ext cx="670560" cy="449580"/>
        </a:xfrm>
        <a:prstGeom prst="rect">
          <a:avLst/>
        </a:prstGeom>
      </xdr:spPr>
    </xdr:pic>
    <xdr:clientData/>
  </xdr:twoCellAnchor>
  <xdr:twoCellAnchor editAs="oneCell">
    <xdr:from>
      <xdr:col>4</xdr:col>
      <xdr:colOff>396240</xdr:colOff>
      <xdr:row>10</xdr:row>
      <xdr:rowOff>53340</xdr:rowOff>
    </xdr:from>
    <xdr:to>
      <xdr:col>5</xdr:col>
      <xdr:colOff>127140</xdr:colOff>
      <xdr:row>12</xdr:row>
      <xdr:rowOff>28080</xdr:rowOff>
    </xdr:to>
    <xdr:pic>
      <xdr:nvPicPr>
        <xdr:cNvPr id="58" name="Graphic 57" descr="Document with solid fill">
          <a:extLst>
            <a:ext uri="{FF2B5EF4-FFF2-40B4-BE49-F238E27FC236}">
              <a16:creationId xmlns:a16="http://schemas.microsoft.com/office/drawing/2014/main" id="{312DADD4-A433-4784-940D-07958A70211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34640" y="1882140"/>
          <a:ext cx="340500" cy="340500"/>
        </a:xfrm>
        <a:prstGeom prst="rect">
          <a:avLst/>
        </a:prstGeom>
      </xdr:spPr>
    </xdr:pic>
    <xdr:clientData/>
  </xdr:twoCellAnchor>
  <xdr:twoCellAnchor>
    <xdr:from>
      <xdr:col>5</xdr:col>
      <xdr:colOff>243840</xdr:colOff>
      <xdr:row>10</xdr:row>
      <xdr:rowOff>99060</xdr:rowOff>
    </xdr:from>
    <xdr:to>
      <xdr:col>7</xdr:col>
      <xdr:colOff>281940</xdr:colOff>
      <xdr:row>12</xdr:row>
      <xdr:rowOff>0</xdr:rowOff>
    </xdr:to>
    <xdr:sp macro="" textlink="">
      <xdr:nvSpPr>
        <xdr:cNvPr id="59" name="Rectangle 58">
          <a:extLst>
            <a:ext uri="{FF2B5EF4-FFF2-40B4-BE49-F238E27FC236}">
              <a16:creationId xmlns:a16="http://schemas.microsoft.com/office/drawing/2014/main" id="{8513EDD5-C113-2A1A-4354-55632176B9C9}"/>
            </a:ext>
          </a:extLst>
        </xdr:cNvPr>
        <xdr:cNvSpPr/>
      </xdr:nvSpPr>
      <xdr:spPr>
        <a:xfrm>
          <a:off x="3291840" y="1927860"/>
          <a:ext cx="1257300" cy="2667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t>Data Analytics</a:t>
          </a:r>
        </a:p>
      </xdr:txBody>
    </xdr:sp>
    <xdr:clientData/>
  </xdr:twoCellAnchor>
  <xdr:twoCellAnchor>
    <xdr:from>
      <xdr:col>4</xdr:col>
      <xdr:colOff>533400</xdr:colOff>
      <xdr:row>12</xdr:row>
      <xdr:rowOff>121920</xdr:rowOff>
    </xdr:from>
    <xdr:to>
      <xdr:col>6</xdr:col>
      <xdr:colOff>99060</xdr:colOff>
      <xdr:row>13</xdr:row>
      <xdr:rowOff>137160</xdr:rowOff>
    </xdr:to>
    <xdr:sp macro="" textlink="">
      <xdr:nvSpPr>
        <xdr:cNvPr id="62" name="Rectangle 61">
          <a:extLst>
            <a:ext uri="{FF2B5EF4-FFF2-40B4-BE49-F238E27FC236}">
              <a16:creationId xmlns:a16="http://schemas.microsoft.com/office/drawing/2014/main" id="{B31B423B-6FDD-80FE-D935-3212B4127B2F}"/>
            </a:ext>
          </a:extLst>
        </xdr:cNvPr>
        <xdr:cNvSpPr/>
      </xdr:nvSpPr>
      <xdr:spPr>
        <a:xfrm>
          <a:off x="2971800" y="2316480"/>
          <a:ext cx="784860" cy="1981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ln>
                <a:noFill/>
              </a:ln>
              <a:solidFill>
                <a:schemeClr val="tx1"/>
              </a:solidFill>
            </a:rPr>
            <a:t>Amount</a:t>
          </a:r>
        </a:p>
      </xdr:txBody>
    </xdr:sp>
    <xdr:clientData/>
  </xdr:twoCellAnchor>
  <xdr:twoCellAnchor>
    <xdr:from>
      <xdr:col>8</xdr:col>
      <xdr:colOff>426720</xdr:colOff>
      <xdr:row>12</xdr:row>
      <xdr:rowOff>160020</xdr:rowOff>
    </xdr:from>
    <xdr:to>
      <xdr:col>9</xdr:col>
      <xdr:colOff>426720</xdr:colOff>
      <xdr:row>13</xdr:row>
      <xdr:rowOff>129540</xdr:rowOff>
    </xdr:to>
    <xdr:sp macro="" textlink="">
      <xdr:nvSpPr>
        <xdr:cNvPr id="64" name="Rectangle 63">
          <a:extLst>
            <a:ext uri="{FF2B5EF4-FFF2-40B4-BE49-F238E27FC236}">
              <a16:creationId xmlns:a16="http://schemas.microsoft.com/office/drawing/2014/main" id="{2C37697E-98A5-C210-19CC-CCC5E8F44D52}"/>
            </a:ext>
          </a:extLst>
        </xdr:cNvPr>
        <xdr:cNvSpPr/>
      </xdr:nvSpPr>
      <xdr:spPr>
        <a:xfrm>
          <a:off x="5303520" y="2354580"/>
          <a:ext cx="609600" cy="1524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rPr>
            <a:t>Sales</a:t>
          </a:r>
        </a:p>
      </xdr:txBody>
    </xdr:sp>
    <xdr:clientData/>
  </xdr:twoCellAnchor>
  <xdr:twoCellAnchor>
    <xdr:from>
      <xdr:col>13</xdr:col>
      <xdr:colOff>335280</xdr:colOff>
      <xdr:row>21</xdr:row>
      <xdr:rowOff>30480</xdr:rowOff>
    </xdr:from>
    <xdr:to>
      <xdr:col>16</xdr:col>
      <xdr:colOff>68580</xdr:colOff>
      <xdr:row>22</xdr:row>
      <xdr:rowOff>99060</xdr:rowOff>
    </xdr:to>
    <xdr:sp macro="" textlink="">
      <xdr:nvSpPr>
        <xdr:cNvPr id="67" name="Rectangle 66">
          <a:extLst>
            <a:ext uri="{FF2B5EF4-FFF2-40B4-BE49-F238E27FC236}">
              <a16:creationId xmlns:a16="http://schemas.microsoft.com/office/drawing/2014/main" id="{232F6CE9-A245-4DFD-850E-07E3B7A65DDA}"/>
            </a:ext>
          </a:extLst>
        </xdr:cNvPr>
        <xdr:cNvSpPr/>
      </xdr:nvSpPr>
      <xdr:spPr>
        <a:xfrm>
          <a:off x="8260080" y="3870960"/>
          <a:ext cx="1562100" cy="25146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w="19050">
              <a:solidFill>
                <a:schemeClr val="tx1"/>
              </a:solidFill>
            </a:ln>
            <a:noFill/>
          </a:endParaRPr>
        </a:p>
      </xdr:txBody>
    </xdr:sp>
    <xdr:clientData/>
  </xdr:twoCellAnchor>
  <xdr:twoCellAnchor>
    <xdr:from>
      <xdr:col>13</xdr:col>
      <xdr:colOff>38100</xdr:colOff>
      <xdr:row>11</xdr:row>
      <xdr:rowOff>144780</xdr:rowOff>
    </xdr:from>
    <xdr:to>
      <xdr:col>15</xdr:col>
      <xdr:colOff>381000</xdr:colOff>
      <xdr:row>13</xdr:row>
      <xdr:rowOff>30480</xdr:rowOff>
    </xdr:to>
    <xdr:sp macro="" textlink="">
      <xdr:nvSpPr>
        <xdr:cNvPr id="68" name="Rectangle 67">
          <a:extLst>
            <a:ext uri="{FF2B5EF4-FFF2-40B4-BE49-F238E27FC236}">
              <a16:creationId xmlns:a16="http://schemas.microsoft.com/office/drawing/2014/main" id="{F8426BA8-CA0B-43AE-A144-E70D71AC83A6}"/>
            </a:ext>
          </a:extLst>
        </xdr:cNvPr>
        <xdr:cNvSpPr/>
      </xdr:nvSpPr>
      <xdr:spPr>
        <a:xfrm>
          <a:off x="7962900" y="2156460"/>
          <a:ext cx="1562100" cy="25146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w="19050">
              <a:solidFill>
                <a:schemeClr val="tx1"/>
              </a:solidFill>
            </a:ln>
            <a:noFill/>
          </a:endParaRPr>
        </a:p>
      </xdr:txBody>
    </xdr:sp>
    <xdr:clientData/>
  </xdr:twoCellAnchor>
  <xdr:twoCellAnchor>
    <xdr:from>
      <xdr:col>13</xdr:col>
      <xdr:colOff>45720</xdr:colOff>
      <xdr:row>11</xdr:row>
      <xdr:rowOff>114300</xdr:rowOff>
    </xdr:from>
    <xdr:to>
      <xdr:col>20</xdr:col>
      <xdr:colOff>99060</xdr:colOff>
      <xdr:row>19</xdr:row>
      <xdr:rowOff>38100</xdr:rowOff>
    </xdr:to>
    <xdr:graphicFrame macro="">
      <xdr:nvGraphicFramePr>
        <xdr:cNvPr id="69" name="Chart 68">
          <a:extLst>
            <a:ext uri="{FF2B5EF4-FFF2-40B4-BE49-F238E27FC236}">
              <a16:creationId xmlns:a16="http://schemas.microsoft.com/office/drawing/2014/main" id="{E3767813-69FA-421D-B69C-D53E69192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7620</xdr:colOff>
      <xdr:row>21</xdr:row>
      <xdr:rowOff>114300</xdr:rowOff>
    </xdr:from>
    <xdr:to>
      <xdr:col>20</xdr:col>
      <xdr:colOff>175260</xdr:colOff>
      <xdr:row>30</xdr:row>
      <xdr:rowOff>30480</xdr:rowOff>
    </xdr:to>
    <xdr:graphicFrame macro="">
      <xdr:nvGraphicFramePr>
        <xdr:cNvPr id="70" name="Chart 69">
          <a:extLst>
            <a:ext uri="{FF2B5EF4-FFF2-40B4-BE49-F238E27FC236}">
              <a16:creationId xmlns:a16="http://schemas.microsoft.com/office/drawing/2014/main" id="{E382F6D8-A72E-4215-B7C2-487F75D03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137160</xdr:colOff>
      <xdr:row>17</xdr:row>
      <xdr:rowOff>137160</xdr:rowOff>
    </xdr:from>
    <xdr:to>
      <xdr:col>10</xdr:col>
      <xdr:colOff>449580</xdr:colOff>
      <xdr:row>28</xdr:row>
      <xdr:rowOff>15240</xdr:rowOff>
    </xdr:to>
    <xdr:graphicFrame macro="">
      <xdr:nvGraphicFramePr>
        <xdr:cNvPr id="71" name="Chart 70">
          <a:extLst>
            <a:ext uri="{FF2B5EF4-FFF2-40B4-BE49-F238E27FC236}">
              <a16:creationId xmlns:a16="http://schemas.microsoft.com/office/drawing/2014/main" id="{9A1B7DDC-1F7C-4497-A73A-2BCE4DDE5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403860</xdr:colOff>
      <xdr:row>14</xdr:row>
      <xdr:rowOff>60960</xdr:rowOff>
    </xdr:from>
    <xdr:to>
      <xdr:col>6</xdr:col>
      <xdr:colOff>53340</xdr:colOff>
      <xdr:row>15</xdr:row>
      <xdr:rowOff>106680</xdr:rowOff>
    </xdr:to>
    <xdr:sp macro="" textlink="">
      <xdr:nvSpPr>
        <xdr:cNvPr id="3" name="Rectangle 2">
          <a:extLst>
            <a:ext uri="{FF2B5EF4-FFF2-40B4-BE49-F238E27FC236}">
              <a16:creationId xmlns:a16="http://schemas.microsoft.com/office/drawing/2014/main" id="{FF27DE8A-8EC8-DCDB-3760-90E6548AC111}"/>
            </a:ext>
          </a:extLst>
        </xdr:cNvPr>
        <xdr:cNvSpPr/>
      </xdr:nvSpPr>
      <xdr:spPr>
        <a:xfrm>
          <a:off x="2842260" y="2621280"/>
          <a:ext cx="868680" cy="22860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1">
              <a:solidFill>
                <a:schemeClr val="tx1"/>
              </a:solidFill>
            </a:rPr>
            <a:t>11,81,600</a:t>
          </a:r>
        </a:p>
      </xdr:txBody>
    </xdr:sp>
    <xdr:clientData/>
  </xdr:twoCellAnchor>
  <xdr:twoCellAnchor>
    <xdr:from>
      <xdr:col>8</xdr:col>
      <xdr:colOff>381000</xdr:colOff>
      <xdr:row>14</xdr:row>
      <xdr:rowOff>68580</xdr:rowOff>
    </xdr:from>
    <xdr:to>
      <xdr:col>9</xdr:col>
      <xdr:colOff>365760</xdr:colOff>
      <xdr:row>15</xdr:row>
      <xdr:rowOff>68580</xdr:rowOff>
    </xdr:to>
    <xdr:sp macro="" textlink="">
      <xdr:nvSpPr>
        <xdr:cNvPr id="7" name="Rectangle 6">
          <a:extLst>
            <a:ext uri="{FF2B5EF4-FFF2-40B4-BE49-F238E27FC236}">
              <a16:creationId xmlns:a16="http://schemas.microsoft.com/office/drawing/2014/main" id="{FC5A31AD-79F2-53EB-A307-F72AB12F5ACC}"/>
            </a:ext>
          </a:extLst>
        </xdr:cNvPr>
        <xdr:cNvSpPr/>
      </xdr:nvSpPr>
      <xdr:spPr>
        <a:xfrm>
          <a:off x="5257800" y="2628900"/>
          <a:ext cx="594360" cy="182880"/>
        </a:xfrm>
        <a:prstGeom prst="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100" b="1">
              <a:solidFill>
                <a:schemeClr val="tx1"/>
              </a:solidFill>
            </a:rPr>
            <a:t>30</a:t>
          </a:r>
        </a:p>
      </xdr:txBody>
    </xdr:sp>
    <xdr:clientData/>
  </xdr:twoCellAnchor>
  <xdr:twoCellAnchor>
    <xdr:from>
      <xdr:col>4</xdr:col>
      <xdr:colOff>167640</xdr:colOff>
      <xdr:row>12</xdr:row>
      <xdr:rowOff>114300</xdr:rowOff>
    </xdr:from>
    <xdr:to>
      <xdr:col>4</xdr:col>
      <xdr:colOff>502920</xdr:colOff>
      <xdr:row>13</xdr:row>
      <xdr:rowOff>152400</xdr:rowOff>
    </xdr:to>
    <xdr:sp macro="" textlink="">
      <xdr:nvSpPr>
        <xdr:cNvPr id="13" name="Rectangle 12">
          <a:extLst>
            <a:ext uri="{FF2B5EF4-FFF2-40B4-BE49-F238E27FC236}">
              <a16:creationId xmlns:a16="http://schemas.microsoft.com/office/drawing/2014/main" id="{D0E25804-658C-02DA-B32B-7FF1AE28943D}"/>
            </a:ext>
          </a:extLst>
        </xdr:cNvPr>
        <xdr:cNvSpPr/>
      </xdr:nvSpPr>
      <xdr:spPr>
        <a:xfrm>
          <a:off x="2606040" y="2308860"/>
          <a:ext cx="335280" cy="220980"/>
        </a:xfrm>
        <a:prstGeom prst="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2">
                  <a:lumMod val="75000"/>
                </a:schemeClr>
              </a:solidFill>
            </a:rPr>
            <a:t>$</a:t>
          </a:r>
        </a:p>
        <a:p>
          <a:pPr algn="ctr"/>
          <a:endParaRPr lang="en-IN" sz="1600" b="1">
            <a:solidFill>
              <a:schemeClr val="tx2">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1.629835995373" createdVersion="8" refreshedVersion="8" minRefreshableVersion="3" recordCount="30" xr:uid="{2DC9B60B-4DBD-428F-8E6C-006410EB12FE}">
  <cacheSource type="worksheet">
    <worksheetSource name="Table3"/>
  </cacheSource>
  <cacheFields count="10">
    <cacheField name="Sl No" numFmtId="0">
      <sharedItems containsSemiMixedTypes="0" containsString="0" containsNumber="1" containsInteger="1" minValue="1" maxValue="30"/>
    </cacheField>
    <cacheField name="Date" numFmtId="14">
      <sharedItems containsSemiMixedTypes="0" containsNonDate="0" containsDate="1" containsString="0" minDate="2025-09-16T00:00:00" maxDate="2025-10-16T00:00:00" count="3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sharedItems>
      <fieldGroup par="9"/>
    </cacheField>
    <cacheField name="Customer" numFmtId="0">
      <sharedItems/>
    </cacheField>
    <cacheField name="Region" numFmtId="0">
      <sharedItems count="4">
        <s v="North"/>
        <s v="South"/>
        <s v="East"/>
        <s v="West"/>
      </sharedItems>
    </cacheField>
    <cacheField name="Item" numFmtId="0">
      <sharedItems count="7">
        <s v="Notebook"/>
        <s v="Charger"/>
        <s v="Backpack"/>
        <s v="Pen Set"/>
        <s v="Desk Lamp"/>
        <s v="Chair"/>
        <s v="USB Drive"/>
      </sharedItems>
    </cacheField>
    <cacheField name="Qty" numFmtId="0">
      <sharedItems containsSemiMixedTypes="0" containsString="0" containsNumber="1" containsInteger="1" minValue="12" maxValue="63"/>
    </cacheField>
    <cacheField name="Price" numFmtId="0">
      <sharedItems containsSemiMixedTypes="0" containsString="0" containsNumber="1" containsInteger="1" minValue="50" maxValue="8000"/>
    </cacheField>
    <cacheField name="Amount" numFmtId="0">
      <sharedItems containsSemiMixedTypes="0" containsString="0" containsNumber="1" containsInteger="1" minValue="1050" maxValue="184000"/>
    </cacheField>
    <cacheField name="Days (Date)" numFmtId="0" databaseField="0">
      <fieldGroup base="1">
        <rangePr groupBy="days" startDate="2025-09-16T00:00:00" endDate="2025-10-16T00:00:00"/>
        <groupItems count="368">
          <s v="&lt;16-09-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10-2025"/>
        </groupItems>
      </fieldGroup>
    </cacheField>
    <cacheField name="Months (Date)" numFmtId="0" databaseField="0">
      <fieldGroup base="1">
        <rangePr groupBy="months" startDate="2025-09-16T00:00:00" endDate="2025-10-16T00:00:00"/>
        <groupItems count="14">
          <s v="&lt;16-09-2025"/>
          <s v="Jan"/>
          <s v="Feb"/>
          <s v="Mar"/>
          <s v="Apr"/>
          <s v="May"/>
          <s v="Jun"/>
          <s v="Jul"/>
          <s v="Aug"/>
          <s v="Sep"/>
          <s v="Oct"/>
          <s v="Nov"/>
          <s v="Dec"/>
          <s v="&gt;16-10-2025"/>
        </groupItems>
      </fieldGroup>
    </cacheField>
  </cacheFields>
  <extLst>
    <ext xmlns:x14="http://schemas.microsoft.com/office/spreadsheetml/2009/9/main" uri="{725AE2AE-9491-48be-B2B4-4EB974FC3084}">
      <x14:pivotCacheDefinition pivotCacheId="2332542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x v="0"/>
    <s v="Emily Johnson"/>
    <x v="0"/>
    <x v="0"/>
    <n v="21"/>
    <n v="50"/>
    <n v="1050"/>
  </r>
  <r>
    <n v="2"/>
    <x v="1"/>
    <s v="Olivia Brown"/>
    <x v="1"/>
    <x v="1"/>
    <n v="36"/>
    <n v="500"/>
    <n v="18000"/>
  </r>
  <r>
    <n v="3"/>
    <x v="2"/>
    <s v="Ramesh Kumar"/>
    <x v="2"/>
    <x v="2"/>
    <n v="32"/>
    <n v="1200"/>
    <n v="38400"/>
  </r>
  <r>
    <n v="4"/>
    <x v="3"/>
    <s v="Maria Angelica"/>
    <x v="3"/>
    <x v="3"/>
    <n v="21"/>
    <n v="500"/>
    <n v="10500"/>
  </r>
  <r>
    <n v="5"/>
    <x v="4"/>
    <s v="Mohammad Ali"/>
    <x v="3"/>
    <x v="4"/>
    <n v="23"/>
    <n v="8000"/>
    <n v="184000"/>
  </r>
  <r>
    <n v="6"/>
    <x v="5"/>
    <s v="Fatima Al Mak"/>
    <x v="1"/>
    <x v="5"/>
    <n v="12"/>
    <n v="600"/>
    <n v="7200"/>
  </r>
  <r>
    <n v="7"/>
    <x v="6"/>
    <s v="Ethan Lee"/>
    <x v="3"/>
    <x v="4"/>
    <n v="25"/>
    <n v="6000"/>
    <n v="150000"/>
  </r>
  <r>
    <n v="8"/>
    <x v="7"/>
    <s v="Ava Jenkins"/>
    <x v="2"/>
    <x v="6"/>
    <n v="63"/>
    <n v="500"/>
    <n v="31500"/>
  </r>
  <r>
    <n v="9"/>
    <x v="8"/>
    <s v="Lukas Müller"/>
    <x v="0"/>
    <x v="0"/>
    <n v="45"/>
    <n v="50"/>
    <n v="2250"/>
  </r>
  <r>
    <n v="10"/>
    <x v="9"/>
    <s v="Yui Nakamura"/>
    <x v="0"/>
    <x v="1"/>
    <n v="56"/>
    <n v="600"/>
    <n v="33600"/>
  </r>
  <r>
    <n v="11"/>
    <x v="10"/>
    <s v="Maria Angelica"/>
    <x v="1"/>
    <x v="2"/>
    <n v="32"/>
    <n v="1200"/>
    <n v="38400"/>
  </r>
  <r>
    <n v="12"/>
    <x v="11"/>
    <s v="Mohammad Ali"/>
    <x v="3"/>
    <x v="3"/>
    <n v="23"/>
    <n v="800"/>
    <n v="18400"/>
  </r>
  <r>
    <n v="13"/>
    <x v="12"/>
    <s v="Fatima Al Mak"/>
    <x v="2"/>
    <x v="4"/>
    <n v="32"/>
    <n v="600"/>
    <n v="19200"/>
  </r>
  <r>
    <n v="14"/>
    <x v="13"/>
    <s v="Ava Jenkins"/>
    <x v="3"/>
    <x v="5"/>
    <n v="21"/>
    <n v="500"/>
    <n v="10500"/>
  </r>
  <r>
    <n v="15"/>
    <x v="14"/>
    <s v="Yuki Nakamura"/>
    <x v="2"/>
    <x v="6"/>
    <n v="23"/>
    <n v="500"/>
    <n v="11500"/>
  </r>
  <r>
    <n v="16"/>
    <x v="15"/>
    <s v="Maria Angelica"/>
    <x v="3"/>
    <x v="3"/>
    <n v="25"/>
    <n v="200"/>
    <n v="5000"/>
  </r>
  <r>
    <n v="17"/>
    <x v="16"/>
    <s v="Mohammad Ali"/>
    <x v="1"/>
    <x v="5"/>
    <n v="43"/>
    <n v="400"/>
    <n v="17200"/>
  </r>
  <r>
    <n v="18"/>
    <x v="17"/>
    <s v="Fatima Al Mak"/>
    <x v="2"/>
    <x v="4"/>
    <n v="56"/>
    <n v="3000"/>
    <n v="168000"/>
  </r>
  <r>
    <n v="19"/>
    <x v="18"/>
    <s v="Ava Jenkins"/>
    <x v="1"/>
    <x v="6"/>
    <n v="32"/>
    <n v="300"/>
    <n v="9600"/>
  </r>
  <r>
    <n v="20"/>
    <x v="19"/>
    <s v="Ethan Lee"/>
    <x v="3"/>
    <x v="3"/>
    <n v="30"/>
    <n v="300"/>
    <n v="6300"/>
  </r>
  <r>
    <n v="21"/>
    <x v="20"/>
    <s v="Emily Johnson"/>
    <x v="0"/>
    <x v="0"/>
    <n v="40"/>
    <n v="55"/>
    <n v="2200"/>
  </r>
  <r>
    <n v="22"/>
    <x v="21"/>
    <s v="Olivia Brown"/>
    <x v="1"/>
    <x v="1"/>
    <n v="25"/>
    <n v="450"/>
    <n v="11250"/>
  </r>
  <r>
    <n v="23"/>
    <x v="22"/>
    <s v="Ramesh Kumar"/>
    <x v="2"/>
    <x v="2"/>
    <n v="20"/>
    <n v="1300"/>
    <n v="26000"/>
  </r>
  <r>
    <n v="24"/>
    <x v="23"/>
    <s v="Maria Angelica"/>
    <x v="3"/>
    <x v="3"/>
    <n v="35"/>
    <n v="250"/>
    <n v="8750"/>
  </r>
  <r>
    <n v="25"/>
    <x v="24"/>
    <s v="Mohammad Ali"/>
    <x v="3"/>
    <x v="4"/>
    <n v="15"/>
    <n v="7500"/>
    <n v="112500"/>
  </r>
  <r>
    <n v="26"/>
    <x v="25"/>
    <s v="Fatima Al Mak"/>
    <x v="1"/>
    <x v="5"/>
    <n v="18"/>
    <n v="550"/>
    <n v="9900"/>
  </r>
  <r>
    <n v="27"/>
    <x v="26"/>
    <s v="Ethan Lee"/>
    <x v="3"/>
    <x v="4"/>
    <n v="28"/>
    <n v="6500"/>
    <n v="182000"/>
  </r>
  <r>
    <n v="28"/>
    <x v="27"/>
    <s v="Ava Jenkins"/>
    <x v="2"/>
    <x v="6"/>
    <n v="45"/>
    <n v="520"/>
    <n v="23400"/>
  </r>
  <r>
    <n v="29"/>
    <x v="28"/>
    <s v="Lukas Müller"/>
    <x v="0"/>
    <x v="0"/>
    <n v="30"/>
    <n v="60"/>
    <n v="1800"/>
  </r>
  <r>
    <n v="30"/>
    <x v="29"/>
    <s v="Yui Nakamura"/>
    <x v="0"/>
    <x v="1"/>
    <n v="40"/>
    <n v="580"/>
    <n v="23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8CAD27-AF94-44B0-B350-F3008235BE5F}" name="PivotTable1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M6:M7" firstHeaderRow="1" firstDataRow="1" firstDataCol="0"/>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2"/>
        <item x="0"/>
        <item x="1"/>
        <item x="3"/>
        <item t="default"/>
      </items>
    </pivotField>
    <pivotField showAll="0">
      <items count="8">
        <item x="2"/>
        <item x="5"/>
        <item x="1"/>
        <item x="4"/>
        <item x="0"/>
        <item x="3"/>
        <item x="6"/>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ascending">
      <items count="15">
        <item sd="0" x="1"/>
        <item sd="0" x="2"/>
        <item sd="0" x="3"/>
        <item sd="0" x="4"/>
        <item sd="0" x="5"/>
        <item sd="0" x="6"/>
        <item sd="0" x="7"/>
        <item sd="0" x="8"/>
        <item sd="0" x="9"/>
        <item sd="0" x="10"/>
        <item sd="0" x="11"/>
        <item sd="0" x="12"/>
        <item sd="0" x="0"/>
        <item sd="0" x="13"/>
        <item t="default"/>
      </items>
    </pivotField>
  </pivotFields>
  <rowItems count="1">
    <i/>
  </rowItems>
  <colItems count="1">
    <i/>
  </colItems>
  <dataFields count="1">
    <dataField name="Count of Amount" fld="7" subtotal="count" baseField="0" baseItem="0"/>
  </dataFields>
  <chartFormats count="3">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DF1F35-7C35-460E-A419-D9F70BA60B08}" name="PivotTable1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M3:M4" firstHeaderRow="1" firstDataRow="1" firstDataCol="0"/>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2"/>
        <item x="0"/>
        <item x="1"/>
        <item x="3"/>
        <item t="default"/>
      </items>
    </pivotField>
    <pivotField showAll="0">
      <items count="8">
        <item x="2"/>
        <item x="5"/>
        <item x="1"/>
        <item x="4"/>
        <item x="0"/>
        <item x="3"/>
        <item x="6"/>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ascending">
      <items count="15">
        <item sd="0" x="1"/>
        <item sd="0" x="2"/>
        <item sd="0" x="3"/>
        <item sd="0" x="4"/>
        <item sd="0" x="5"/>
        <item sd="0" x="6"/>
        <item sd="0" x="7"/>
        <item sd="0" x="8"/>
        <item sd="0" x="9"/>
        <item sd="0" x="10"/>
        <item sd="0" x="11"/>
        <item sd="0" x="12"/>
        <item sd="0" x="0"/>
        <item sd="0" x="13"/>
        <item t="default"/>
      </items>
    </pivotField>
  </pivotFields>
  <rowItems count="1">
    <i/>
  </rowItems>
  <colItems count="1">
    <i/>
  </colItems>
  <dataFields count="1">
    <dataField name="Sum of Amount" fld="7" baseField="0" baseItem="0"/>
  </dataFields>
  <chartFormats count="3">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68D453-AB1B-49A2-B713-8C1C68A769A5}"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11"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2"/>
        <item x="0"/>
        <item x="1"/>
        <item x="3"/>
        <item t="default"/>
      </items>
    </pivotField>
    <pivotField axis="axisRow" showAll="0">
      <items count="8">
        <item x="2"/>
        <item x="5"/>
        <item x="1"/>
        <item x="4"/>
        <item x="0"/>
        <item x="3"/>
        <item x="6"/>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4"/>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0B4901-E6E1-4700-915F-0801CFE59A90}"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8"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5">
        <item x="2"/>
        <item x="0"/>
        <item x="1"/>
        <item x="3"/>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3"/>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428996-96F3-4F94-9764-15A2CD79CD12}"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6" firstHeaderRow="1" firstDataRow="1" firstDataCol="1"/>
  <pivotFields count="10">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3">
    <field x="9"/>
    <field x="8"/>
    <field x="1"/>
  </rowFields>
  <rowItems count="3">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BE0E0D-6350-4637-9459-E753FC20E367}"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J3:K6"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2"/>
        <item x="0"/>
        <item x="1"/>
        <item x="3"/>
        <item t="default"/>
      </items>
    </pivotField>
    <pivotField showAll="0">
      <items count="8">
        <item x="2"/>
        <item x="5"/>
        <item x="1"/>
        <item x="4"/>
        <item x="0"/>
        <item x="3"/>
        <item x="6"/>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9"/>
  </rowFields>
  <rowItems count="3">
    <i>
      <x v="8"/>
    </i>
    <i>
      <x v="9"/>
    </i>
    <i t="grand">
      <x/>
    </i>
  </rowItems>
  <colItems count="1">
    <i/>
  </colItems>
  <dataFields count="1">
    <dataField name="Sum of Amount" fld="7" baseField="0" baseItem="0"/>
  </dataFields>
  <chartFormats count="2">
    <chartFormat chart="11"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678D7E-C467-4AB0-86A4-4110F80BFCFB}"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G3:H8"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5">
        <item x="2"/>
        <item x="0"/>
        <item x="1"/>
        <item x="3"/>
        <item t="default"/>
      </items>
    </pivotField>
    <pivotField showAll="0">
      <items count="8">
        <item x="2"/>
        <item x="5"/>
        <item x="1"/>
        <item x="4"/>
        <item x="0"/>
        <item x="3"/>
        <item x="6"/>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CE01C9-4714-4461-9112-C80BB35AF85B}"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J10:K18"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2"/>
        <item x="0"/>
        <item x="1"/>
        <item x="3"/>
        <item t="default"/>
      </items>
    </pivotField>
    <pivotField axis="axisRow" showAll="0">
      <items count="8">
        <item x="2"/>
        <item x="5"/>
        <item x="1"/>
        <item x="4"/>
        <item x="0"/>
        <item x="3"/>
        <item x="6"/>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4"/>
  </rowFields>
  <rowItems count="8">
    <i>
      <x/>
    </i>
    <i>
      <x v="1"/>
    </i>
    <i>
      <x v="2"/>
    </i>
    <i>
      <x v="3"/>
    </i>
    <i>
      <x v="4"/>
    </i>
    <i>
      <x v="5"/>
    </i>
    <i>
      <x v="6"/>
    </i>
    <i t="grand">
      <x/>
    </i>
  </rowItems>
  <colItems count="1">
    <i/>
  </colItems>
  <dataFields count="1">
    <dataField name="Sum of Amount" fld="7" baseField="0" baseItem="0"/>
  </dataFields>
  <chartFormats count="3">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95BD42-E2FB-4F5C-9EF6-15BCA0F80A91}" sourceName="Region">
  <pivotTables>
    <pivotTable tabId="8" name="PivotTable5"/>
    <pivotTable tabId="8" name="PivotTable6"/>
    <pivotTable tabId="8" name="PivotTable7"/>
    <pivotTable tabId="8" name="PivotTable8"/>
    <pivotTable tabId="8" name="PivotTable9"/>
    <pivotTable tabId="8" name="PivotTable10"/>
    <pivotTable tabId="8" name="PivotTable11"/>
  </pivotTables>
  <data>
    <tabular pivotCacheId="23325429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85B01CE-24BE-488E-BDE4-12B6E0F53D37}" sourceName="Item">
  <pivotTables>
    <pivotTable tabId="8" name="PivotTable6"/>
    <pivotTable tabId="8" name="PivotTable7"/>
    <pivotTable tabId="8" name="PivotTable8"/>
    <pivotTable tabId="8" name="PivotTable9"/>
    <pivotTable tabId="8" name="PivotTable10"/>
    <pivotTable tabId="8" name="PivotTable11"/>
  </pivotTables>
  <data>
    <tabular pivotCacheId="233254293">
      <items count="7">
        <i x="2" s="1"/>
        <i x="5" s="1"/>
        <i x="1" s="1"/>
        <i x="4" s="1"/>
        <i x="0"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9A4D40-A9E0-4F0F-B7A4-02BCF5A82347}" cache="Slicer_Region" caption="Region" columnCount="2" style="SlicerStyleDark6" rowHeight="234950"/>
  <slicer name="Item" xr10:uid="{5471CFA1-A66D-4A1A-8B59-7CA7FC92B75A}" cache="Slicer_Item" caption="Item" columnCount="8"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3F69AEA-3E9A-4402-A0E1-DD32B85F0AA6}" cache="Slicer_Region" caption="Region" columnCount="2" style="SlicerStyleDark6" rowHeight="234950"/>
  <slicer name="Item 1" xr10:uid="{C8A0CB91-B2EF-4118-95A7-1CE445CC38EF}" cache="Slicer_Item" caption="Item" columnCount="8"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6363C0-2ED4-4462-9F5D-7C2BACDBA464}" name="Table3" displayName="Table3" ref="A2:H32" totalsRowShown="0" headerRowDxfId="9" dataDxfId="8">
  <autoFilter ref="A2:H32" xr:uid="{2B6363C0-2ED4-4462-9F5D-7C2BACDBA464}"/>
  <tableColumns count="8">
    <tableColumn id="1" xr3:uid="{4D2D1E43-5B90-4F82-950F-BBA20B6A217B}" name="Sl No" dataDxfId="7"/>
    <tableColumn id="2" xr3:uid="{456A6C3D-D853-47AF-A5B7-804C12D3D8E0}" name="Date" dataDxfId="6"/>
    <tableColumn id="3" xr3:uid="{7D520389-D8FD-4F08-AC48-96F57688B623}" name="Customer" dataDxfId="5"/>
    <tableColumn id="4" xr3:uid="{F706E858-80BE-4EEE-8FAB-74F790DFF5CB}" name="Region" dataDxfId="4"/>
    <tableColumn id="5" xr3:uid="{CFA8681F-0576-4A5E-A977-AA635920A384}" name="Item" dataDxfId="3"/>
    <tableColumn id="6" xr3:uid="{21A05771-5CBA-4BAE-A9D5-921A9D45346D}" name="Qty" dataDxfId="2"/>
    <tableColumn id="7" xr3:uid="{7A2BFCF9-1C41-4E9D-ACE5-7884E452DA6C}" name="Price" dataDxfId="1"/>
    <tableColumn id="8" xr3:uid="{DD39E66E-FE81-4826-8537-F808BBD087E0}"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FE58A07-7319-4439-B4A3-A8A46E1633C3}" sourceName="Date">
  <pivotTables>
    <pivotTable tabId="8" name="PivotTable3"/>
    <pivotTable tabId="8" name="PivotTable5"/>
    <pivotTable tabId="8" name="PivotTable6"/>
    <pivotTable tabId="8" name="PivotTable7"/>
    <pivotTable tabId="8" name="PivotTable8"/>
    <pivotTable tabId="8" name="PivotTable9"/>
    <pivotTable tabId="8" name="PivotTable10"/>
    <pivotTable tabId="8" name="PivotTable11"/>
  </pivotTables>
  <state minimalRefreshVersion="6" lastRefreshVersion="6" pivotCacheId="23325429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13E9319-451C-4D80-B3B7-C024C09A6889}" cache="NativeTimeline_Date" caption="Date" showSelectionLabel="0" showTimeLevel="0" showHorizontalScrollbar="0" level="2" selectionLevel="2" scrollPosition="2025-01-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18A234F-3AED-4F86-8A1F-F6565B12908F}" cache="NativeTimeline_Date" caption="Date" showSelectionLabel="0" showTimeLevel="0" showHorizontalScrollbar="0" level="2" selectionLevel="2" scrollPosition="2025-01-01T00:00:00" style="TimeSlicerStyleDark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8DCF3-083B-4144-99A5-B6BBACDCCC77}">
  <dimension ref="A3:N18"/>
  <sheetViews>
    <sheetView workbookViewId="0"/>
  </sheetViews>
  <sheetFormatPr defaultRowHeight="14.4" x14ac:dyDescent="0.3"/>
  <cols>
    <col min="1" max="1" width="12.5546875" bestFit="1" customWidth="1"/>
    <col min="3" max="3" width="12.5546875" bestFit="1" customWidth="1"/>
    <col min="5" max="5" width="12.5546875" bestFit="1" customWidth="1"/>
    <col min="7" max="7" width="12.5546875" bestFit="1" customWidth="1"/>
    <col min="8" max="8" width="14.44140625" bestFit="1" customWidth="1"/>
    <col min="10" max="10" width="12.5546875" bestFit="1" customWidth="1"/>
    <col min="11" max="11" width="14.44140625" bestFit="1" customWidth="1"/>
    <col min="13" max="13" width="15.77734375" bestFit="1" customWidth="1"/>
    <col min="14" max="14" width="14.44140625" bestFit="1" customWidth="1"/>
  </cols>
  <sheetData>
    <row r="3" spans="1:14" x14ac:dyDescent="0.3">
      <c r="A3" s="3" t="s">
        <v>6</v>
      </c>
      <c r="C3" s="3" t="s">
        <v>6</v>
      </c>
      <c r="E3" s="3" t="s">
        <v>6</v>
      </c>
      <c r="G3" s="3" t="s">
        <v>6</v>
      </c>
      <c r="H3" t="s">
        <v>34</v>
      </c>
      <c r="J3" s="3" t="s">
        <v>6</v>
      </c>
      <c r="K3" t="s">
        <v>34</v>
      </c>
      <c r="M3" t="s">
        <v>34</v>
      </c>
    </row>
    <row r="4" spans="1:14" x14ac:dyDescent="0.3">
      <c r="A4" s="4" t="s">
        <v>32</v>
      </c>
      <c r="C4" s="4" t="s">
        <v>4</v>
      </c>
      <c r="E4" s="4" t="s">
        <v>19</v>
      </c>
      <c r="G4" s="4" t="s">
        <v>4</v>
      </c>
      <c r="H4">
        <v>318000</v>
      </c>
      <c r="J4" s="4" t="s">
        <v>32</v>
      </c>
      <c r="K4">
        <v>574500</v>
      </c>
      <c r="M4">
        <v>1181600</v>
      </c>
      <c r="N4" s="6">
        <f>GETPIVOTDATA("Amount",$M$3)</f>
        <v>1181600</v>
      </c>
    </row>
    <row r="5" spans="1:14" x14ac:dyDescent="0.3">
      <c r="A5" s="4" t="s">
        <v>33</v>
      </c>
      <c r="C5" s="4" t="s">
        <v>2</v>
      </c>
      <c r="E5" s="4" t="s">
        <v>25</v>
      </c>
      <c r="G5" s="4" t="s">
        <v>2</v>
      </c>
      <c r="H5">
        <v>64100</v>
      </c>
      <c r="J5" s="4" t="s">
        <v>33</v>
      </c>
      <c r="K5">
        <v>607100</v>
      </c>
    </row>
    <row r="6" spans="1:14" x14ac:dyDescent="0.3">
      <c r="A6" s="4" t="s">
        <v>7</v>
      </c>
      <c r="C6" s="4" t="s">
        <v>3</v>
      </c>
      <c r="E6" s="4" t="s">
        <v>17</v>
      </c>
      <c r="G6" s="4" t="s">
        <v>3</v>
      </c>
      <c r="H6">
        <v>111550</v>
      </c>
      <c r="J6" s="4" t="s">
        <v>7</v>
      </c>
      <c r="K6">
        <v>1181600</v>
      </c>
      <c r="M6" t="s">
        <v>35</v>
      </c>
    </row>
    <row r="7" spans="1:14" x14ac:dyDescent="0.3">
      <c r="C7" s="4" t="s">
        <v>5</v>
      </c>
      <c r="E7" s="4" t="s">
        <v>23</v>
      </c>
      <c r="G7" s="4" t="s">
        <v>5</v>
      </c>
      <c r="H7">
        <v>687950</v>
      </c>
      <c r="M7">
        <v>30</v>
      </c>
      <c r="N7">
        <f>GETPIVOTDATA("Amount",$M$6)</f>
        <v>30</v>
      </c>
    </row>
    <row r="8" spans="1:14" x14ac:dyDescent="0.3">
      <c r="C8" s="4" t="s">
        <v>7</v>
      </c>
      <c r="E8" s="4" t="s">
        <v>15</v>
      </c>
      <c r="G8" s="4" t="s">
        <v>7</v>
      </c>
      <c r="H8">
        <v>1181600</v>
      </c>
    </row>
    <row r="9" spans="1:14" x14ac:dyDescent="0.3">
      <c r="E9" s="4" t="s">
        <v>21</v>
      </c>
    </row>
    <row r="10" spans="1:14" x14ac:dyDescent="0.3">
      <c r="E10" s="4" t="s">
        <v>28</v>
      </c>
      <c r="J10" s="3" t="s">
        <v>6</v>
      </c>
      <c r="K10" t="s">
        <v>34</v>
      </c>
    </row>
    <row r="11" spans="1:14" x14ac:dyDescent="0.3">
      <c r="E11" s="4" t="s">
        <v>7</v>
      </c>
      <c r="J11" s="4" t="s">
        <v>19</v>
      </c>
      <c r="K11">
        <v>102800</v>
      </c>
    </row>
    <row r="12" spans="1:14" x14ac:dyDescent="0.3">
      <c r="J12" s="4" t="s">
        <v>25</v>
      </c>
      <c r="K12">
        <v>44800</v>
      </c>
    </row>
    <row r="13" spans="1:14" x14ac:dyDescent="0.3">
      <c r="J13" s="4" t="s">
        <v>17</v>
      </c>
      <c r="K13">
        <v>86050</v>
      </c>
    </row>
    <row r="14" spans="1:14" x14ac:dyDescent="0.3">
      <c r="J14" s="4" t="s">
        <v>23</v>
      </c>
      <c r="K14">
        <v>815700</v>
      </c>
    </row>
    <row r="15" spans="1:14" x14ac:dyDescent="0.3">
      <c r="J15" s="4" t="s">
        <v>15</v>
      </c>
      <c r="K15">
        <v>7300</v>
      </c>
    </row>
    <row r="16" spans="1:14" x14ac:dyDescent="0.3">
      <c r="J16" s="4" t="s">
        <v>21</v>
      </c>
      <c r="K16">
        <v>48950</v>
      </c>
    </row>
    <row r="17" spans="10:11" x14ac:dyDescent="0.3">
      <c r="J17" s="4" t="s">
        <v>28</v>
      </c>
      <c r="K17">
        <v>76000</v>
      </c>
    </row>
    <row r="18" spans="10:11" x14ac:dyDescent="0.3">
      <c r="J18" s="4" t="s">
        <v>7</v>
      </c>
      <c r="K18">
        <v>1181600</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FBC2C-F52F-4764-8541-D2578FCEB533}">
  <dimension ref="A1:H32"/>
  <sheetViews>
    <sheetView topLeftCell="A3" workbookViewId="0">
      <selection activeCell="A2" sqref="A2:H32"/>
    </sheetView>
  </sheetViews>
  <sheetFormatPr defaultRowHeight="14.4" x14ac:dyDescent="0.3"/>
  <cols>
    <col min="1" max="1" width="9.77734375" bestFit="1" customWidth="1"/>
    <col min="2" max="2" width="10.33203125" bestFit="1" customWidth="1"/>
    <col min="3" max="3" width="13.5546875" bestFit="1" customWidth="1"/>
    <col min="4" max="4" width="11.21875" bestFit="1" customWidth="1"/>
    <col min="5" max="5" width="12.6640625" customWidth="1"/>
    <col min="6" max="6" width="8.44140625" bestFit="1" customWidth="1"/>
    <col min="7" max="7" width="9.5546875" bestFit="1" customWidth="1"/>
    <col min="8" max="8" width="12.33203125" bestFit="1" customWidth="1"/>
  </cols>
  <sheetData>
    <row r="1" spans="1:8" x14ac:dyDescent="0.3">
      <c r="A1" s="1"/>
      <c r="B1" s="1"/>
      <c r="C1" s="1"/>
      <c r="D1" s="1"/>
      <c r="E1" s="1"/>
      <c r="F1" s="1"/>
      <c r="G1" s="1"/>
      <c r="H1" s="1"/>
    </row>
    <row r="2" spans="1:8" x14ac:dyDescent="0.3">
      <c r="A2" s="1" t="s">
        <v>8</v>
      </c>
      <c r="B2" s="1" t="s">
        <v>0</v>
      </c>
      <c r="C2" s="1" t="s">
        <v>9</v>
      </c>
      <c r="D2" s="1" t="s">
        <v>1</v>
      </c>
      <c r="E2" s="1" t="s">
        <v>10</v>
      </c>
      <c r="F2" s="1" t="s">
        <v>11</v>
      </c>
      <c r="G2" s="1" t="s">
        <v>12</v>
      </c>
      <c r="H2" s="1" t="s">
        <v>13</v>
      </c>
    </row>
    <row r="3" spans="1:8" x14ac:dyDescent="0.3">
      <c r="A3" s="1">
        <v>1</v>
      </c>
      <c r="B3" s="5">
        <v>45916</v>
      </c>
      <c r="C3" s="2" t="s">
        <v>14</v>
      </c>
      <c r="D3" s="2" t="s">
        <v>2</v>
      </c>
      <c r="E3" s="2" t="s">
        <v>15</v>
      </c>
      <c r="F3" s="2">
        <v>21</v>
      </c>
      <c r="G3" s="2">
        <v>50</v>
      </c>
      <c r="H3" s="2">
        <v>1050</v>
      </c>
    </row>
    <row r="4" spans="1:8" x14ac:dyDescent="0.3">
      <c r="A4" s="1">
        <v>2</v>
      </c>
      <c r="B4" s="5">
        <v>45917</v>
      </c>
      <c r="C4" s="2" t="s">
        <v>16</v>
      </c>
      <c r="D4" s="2" t="s">
        <v>3</v>
      </c>
      <c r="E4" s="2" t="s">
        <v>17</v>
      </c>
      <c r="F4" s="2">
        <v>36</v>
      </c>
      <c r="G4" s="2">
        <v>500</v>
      </c>
      <c r="H4" s="2">
        <v>18000</v>
      </c>
    </row>
    <row r="5" spans="1:8" x14ac:dyDescent="0.3">
      <c r="A5" s="1">
        <v>3</v>
      </c>
      <c r="B5" s="5">
        <v>45918</v>
      </c>
      <c r="C5" s="2" t="s">
        <v>18</v>
      </c>
      <c r="D5" s="2" t="s">
        <v>4</v>
      </c>
      <c r="E5" s="2" t="s">
        <v>19</v>
      </c>
      <c r="F5" s="2">
        <v>32</v>
      </c>
      <c r="G5" s="2">
        <v>1200</v>
      </c>
      <c r="H5" s="2">
        <v>38400</v>
      </c>
    </row>
    <row r="6" spans="1:8" x14ac:dyDescent="0.3">
      <c r="A6" s="1">
        <v>4</v>
      </c>
      <c r="B6" s="5">
        <v>45919</v>
      </c>
      <c r="C6" s="2" t="s">
        <v>20</v>
      </c>
      <c r="D6" s="2" t="s">
        <v>5</v>
      </c>
      <c r="E6" s="2" t="s">
        <v>21</v>
      </c>
      <c r="F6" s="2">
        <v>21</v>
      </c>
      <c r="G6" s="2">
        <v>500</v>
      </c>
      <c r="H6" s="2">
        <v>10500</v>
      </c>
    </row>
    <row r="7" spans="1:8" x14ac:dyDescent="0.3">
      <c r="A7" s="1">
        <v>5</v>
      </c>
      <c r="B7" s="5">
        <v>45920</v>
      </c>
      <c r="C7" s="2" t="s">
        <v>22</v>
      </c>
      <c r="D7" s="2" t="s">
        <v>5</v>
      </c>
      <c r="E7" s="2" t="s">
        <v>23</v>
      </c>
      <c r="F7" s="2">
        <v>23</v>
      </c>
      <c r="G7" s="2">
        <v>8000</v>
      </c>
      <c r="H7" s="2">
        <v>184000</v>
      </c>
    </row>
    <row r="8" spans="1:8" x14ac:dyDescent="0.3">
      <c r="A8" s="1">
        <v>6</v>
      </c>
      <c r="B8" s="5">
        <v>45921</v>
      </c>
      <c r="C8" s="2" t="s">
        <v>24</v>
      </c>
      <c r="D8" s="2" t="s">
        <v>3</v>
      </c>
      <c r="E8" s="2" t="s">
        <v>25</v>
      </c>
      <c r="F8" s="2">
        <v>12</v>
      </c>
      <c r="G8" s="2">
        <v>600</v>
      </c>
      <c r="H8" s="2">
        <v>7200</v>
      </c>
    </row>
    <row r="9" spans="1:8" x14ac:dyDescent="0.3">
      <c r="A9" s="1">
        <v>7</v>
      </c>
      <c r="B9" s="5">
        <v>45922</v>
      </c>
      <c r="C9" s="2" t="s">
        <v>26</v>
      </c>
      <c r="D9" s="2" t="s">
        <v>5</v>
      </c>
      <c r="E9" s="2" t="s">
        <v>23</v>
      </c>
      <c r="F9" s="2">
        <v>25</v>
      </c>
      <c r="G9" s="2">
        <v>6000</v>
      </c>
      <c r="H9" s="2">
        <v>150000</v>
      </c>
    </row>
    <row r="10" spans="1:8" x14ac:dyDescent="0.3">
      <c r="A10" s="1">
        <v>8</v>
      </c>
      <c r="B10" s="5">
        <v>45923</v>
      </c>
      <c r="C10" s="2" t="s">
        <v>27</v>
      </c>
      <c r="D10" s="2" t="s">
        <v>4</v>
      </c>
      <c r="E10" s="2" t="s">
        <v>28</v>
      </c>
      <c r="F10" s="2">
        <v>63</v>
      </c>
      <c r="G10" s="2">
        <v>500</v>
      </c>
      <c r="H10" s="2">
        <v>31500</v>
      </c>
    </row>
    <row r="11" spans="1:8" x14ac:dyDescent="0.3">
      <c r="A11" s="1">
        <v>9</v>
      </c>
      <c r="B11" s="5">
        <v>45924</v>
      </c>
      <c r="C11" s="2" t="s">
        <v>29</v>
      </c>
      <c r="D11" s="2" t="s">
        <v>2</v>
      </c>
      <c r="E11" s="2" t="s">
        <v>15</v>
      </c>
      <c r="F11" s="2">
        <v>45</v>
      </c>
      <c r="G11" s="2">
        <v>50</v>
      </c>
      <c r="H11" s="2">
        <v>2250</v>
      </c>
    </row>
    <row r="12" spans="1:8" x14ac:dyDescent="0.3">
      <c r="A12" s="1">
        <v>10</v>
      </c>
      <c r="B12" s="5">
        <v>45925</v>
      </c>
      <c r="C12" s="2" t="s">
        <v>30</v>
      </c>
      <c r="D12" s="2" t="s">
        <v>2</v>
      </c>
      <c r="E12" s="2" t="s">
        <v>17</v>
      </c>
      <c r="F12" s="2">
        <v>56</v>
      </c>
      <c r="G12" s="2">
        <v>600</v>
      </c>
      <c r="H12" s="2">
        <v>33600</v>
      </c>
    </row>
    <row r="13" spans="1:8" x14ac:dyDescent="0.3">
      <c r="A13" s="1">
        <v>11</v>
      </c>
      <c r="B13" s="5">
        <v>45926</v>
      </c>
      <c r="C13" s="2" t="s">
        <v>20</v>
      </c>
      <c r="D13" s="2" t="s">
        <v>3</v>
      </c>
      <c r="E13" s="2" t="s">
        <v>19</v>
      </c>
      <c r="F13" s="2">
        <v>32</v>
      </c>
      <c r="G13" s="2">
        <v>1200</v>
      </c>
      <c r="H13" s="2">
        <v>38400</v>
      </c>
    </row>
    <row r="14" spans="1:8" x14ac:dyDescent="0.3">
      <c r="A14" s="1">
        <v>12</v>
      </c>
      <c r="B14" s="5">
        <v>45927</v>
      </c>
      <c r="C14" s="2" t="s">
        <v>22</v>
      </c>
      <c r="D14" s="2" t="s">
        <v>5</v>
      </c>
      <c r="E14" s="2" t="s">
        <v>21</v>
      </c>
      <c r="F14" s="2">
        <v>23</v>
      </c>
      <c r="G14" s="2">
        <v>800</v>
      </c>
      <c r="H14" s="2">
        <v>18400</v>
      </c>
    </row>
    <row r="15" spans="1:8" x14ac:dyDescent="0.3">
      <c r="A15" s="1">
        <v>13</v>
      </c>
      <c r="B15" s="5">
        <v>45928</v>
      </c>
      <c r="C15" s="2" t="s">
        <v>24</v>
      </c>
      <c r="D15" s="2" t="s">
        <v>4</v>
      </c>
      <c r="E15" s="2" t="s">
        <v>23</v>
      </c>
      <c r="F15" s="2">
        <v>32</v>
      </c>
      <c r="G15" s="2">
        <v>600</v>
      </c>
      <c r="H15" s="2">
        <v>19200</v>
      </c>
    </row>
    <row r="16" spans="1:8" x14ac:dyDescent="0.3">
      <c r="A16" s="1">
        <v>14</v>
      </c>
      <c r="B16" s="5">
        <v>45929</v>
      </c>
      <c r="C16" s="2" t="s">
        <v>27</v>
      </c>
      <c r="D16" s="2" t="s">
        <v>5</v>
      </c>
      <c r="E16" s="2" t="s">
        <v>25</v>
      </c>
      <c r="F16" s="2">
        <v>21</v>
      </c>
      <c r="G16" s="2">
        <v>500</v>
      </c>
      <c r="H16" s="2">
        <v>10500</v>
      </c>
    </row>
    <row r="17" spans="1:8" x14ac:dyDescent="0.3">
      <c r="A17" s="1">
        <v>15</v>
      </c>
      <c r="B17" s="5">
        <v>45930</v>
      </c>
      <c r="C17" s="2" t="s">
        <v>31</v>
      </c>
      <c r="D17" s="2" t="s">
        <v>4</v>
      </c>
      <c r="E17" s="2" t="s">
        <v>28</v>
      </c>
      <c r="F17" s="2">
        <v>23</v>
      </c>
      <c r="G17" s="2">
        <v>500</v>
      </c>
      <c r="H17" s="2">
        <v>11500</v>
      </c>
    </row>
    <row r="18" spans="1:8" x14ac:dyDescent="0.3">
      <c r="A18" s="1">
        <v>16</v>
      </c>
      <c r="B18" s="5">
        <v>45931</v>
      </c>
      <c r="C18" s="2" t="s">
        <v>20</v>
      </c>
      <c r="D18" s="2" t="s">
        <v>5</v>
      </c>
      <c r="E18" s="2" t="s">
        <v>21</v>
      </c>
      <c r="F18" s="2">
        <v>25</v>
      </c>
      <c r="G18" s="2">
        <v>200</v>
      </c>
      <c r="H18" s="2">
        <v>5000</v>
      </c>
    </row>
    <row r="19" spans="1:8" x14ac:dyDescent="0.3">
      <c r="A19" s="1">
        <v>17</v>
      </c>
      <c r="B19" s="5">
        <v>45932</v>
      </c>
      <c r="C19" s="2" t="s">
        <v>22</v>
      </c>
      <c r="D19" s="2" t="s">
        <v>3</v>
      </c>
      <c r="E19" s="2" t="s">
        <v>25</v>
      </c>
      <c r="F19" s="2">
        <v>43</v>
      </c>
      <c r="G19" s="2">
        <v>400</v>
      </c>
      <c r="H19" s="2">
        <v>17200</v>
      </c>
    </row>
    <row r="20" spans="1:8" x14ac:dyDescent="0.3">
      <c r="A20" s="1">
        <v>18</v>
      </c>
      <c r="B20" s="5">
        <v>45933</v>
      </c>
      <c r="C20" s="2" t="s">
        <v>24</v>
      </c>
      <c r="D20" s="2" t="s">
        <v>4</v>
      </c>
      <c r="E20" s="2" t="s">
        <v>23</v>
      </c>
      <c r="F20" s="2">
        <v>56</v>
      </c>
      <c r="G20" s="2">
        <v>3000</v>
      </c>
      <c r="H20" s="2">
        <v>168000</v>
      </c>
    </row>
    <row r="21" spans="1:8" x14ac:dyDescent="0.3">
      <c r="A21" s="1">
        <v>19</v>
      </c>
      <c r="B21" s="5">
        <v>45934</v>
      </c>
      <c r="C21" s="2" t="s">
        <v>27</v>
      </c>
      <c r="D21" s="2" t="s">
        <v>3</v>
      </c>
      <c r="E21" s="2" t="s">
        <v>28</v>
      </c>
      <c r="F21" s="2">
        <v>32</v>
      </c>
      <c r="G21" s="2">
        <v>300</v>
      </c>
      <c r="H21" s="2">
        <v>9600</v>
      </c>
    </row>
    <row r="22" spans="1:8" x14ac:dyDescent="0.3">
      <c r="A22" s="1">
        <v>20</v>
      </c>
      <c r="B22" s="5">
        <v>45935</v>
      </c>
      <c r="C22" s="2" t="s">
        <v>26</v>
      </c>
      <c r="D22" s="2" t="s">
        <v>5</v>
      </c>
      <c r="E22" s="2" t="s">
        <v>21</v>
      </c>
      <c r="F22" s="2">
        <v>30</v>
      </c>
      <c r="G22" s="2">
        <v>300</v>
      </c>
      <c r="H22" s="2">
        <v>6300</v>
      </c>
    </row>
    <row r="23" spans="1:8" x14ac:dyDescent="0.3">
      <c r="A23" s="1">
        <v>21</v>
      </c>
      <c r="B23" s="5">
        <v>45936</v>
      </c>
      <c r="C23" s="2" t="s">
        <v>14</v>
      </c>
      <c r="D23" s="2" t="s">
        <v>2</v>
      </c>
      <c r="E23" s="2" t="s">
        <v>15</v>
      </c>
      <c r="F23" s="2">
        <v>40</v>
      </c>
      <c r="G23" s="2">
        <v>55</v>
      </c>
      <c r="H23" s="2">
        <v>2200</v>
      </c>
    </row>
    <row r="24" spans="1:8" x14ac:dyDescent="0.3">
      <c r="A24" s="1">
        <v>22</v>
      </c>
      <c r="B24" s="5">
        <v>45937</v>
      </c>
      <c r="C24" s="2" t="s">
        <v>16</v>
      </c>
      <c r="D24" s="2" t="s">
        <v>3</v>
      </c>
      <c r="E24" s="2" t="s">
        <v>17</v>
      </c>
      <c r="F24" s="2">
        <v>25</v>
      </c>
      <c r="G24" s="2">
        <v>450</v>
      </c>
      <c r="H24" s="2">
        <v>11250</v>
      </c>
    </row>
    <row r="25" spans="1:8" x14ac:dyDescent="0.3">
      <c r="A25" s="1">
        <v>23</v>
      </c>
      <c r="B25" s="5">
        <v>45938</v>
      </c>
      <c r="C25" s="2" t="s">
        <v>18</v>
      </c>
      <c r="D25" s="2" t="s">
        <v>4</v>
      </c>
      <c r="E25" s="2" t="s">
        <v>19</v>
      </c>
      <c r="F25" s="2">
        <v>20</v>
      </c>
      <c r="G25" s="2">
        <v>1300</v>
      </c>
      <c r="H25" s="2">
        <v>26000</v>
      </c>
    </row>
    <row r="26" spans="1:8" x14ac:dyDescent="0.3">
      <c r="A26" s="1">
        <v>24</v>
      </c>
      <c r="B26" s="5">
        <v>45939</v>
      </c>
      <c r="C26" s="2" t="s">
        <v>20</v>
      </c>
      <c r="D26" s="2" t="s">
        <v>5</v>
      </c>
      <c r="E26" s="2" t="s">
        <v>21</v>
      </c>
      <c r="F26" s="2">
        <v>35</v>
      </c>
      <c r="G26" s="2">
        <v>250</v>
      </c>
      <c r="H26" s="2">
        <v>8750</v>
      </c>
    </row>
    <row r="27" spans="1:8" x14ac:dyDescent="0.3">
      <c r="A27" s="1">
        <v>25</v>
      </c>
      <c r="B27" s="5">
        <v>45940</v>
      </c>
      <c r="C27" s="2" t="s">
        <v>22</v>
      </c>
      <c r="D27" s="2" t="s">
        <v>5</v>
      </c>
      <c r="E27" s="2" t="s">
        <v>23</v>
      </c>
      <c r="F27" s="2">
        <v>15</v>
      </c>
      <c r="G27" s="2">
        <v>7500</v>
      </c>
      <c r="H27" s="2">
        <v>112500</v>
      </c>
    </row>
    <row r="28" spans="1:8" x14ac:dyDescent="0.3">
      <c r="A28" s="1">
        <v>26</v>
      </c>
      <c r="B28" s="5">
        <v>45941</v>
      </c>
      <c r="C28" s="2" t="s">
        <v>24</v>
      </c>
      <c r="D28" s="2" t="s">
        <v>3</v>
      </c>
      <c r="E28" s="2" t="s">
        <v>25</v>
      </c>
      <c r="F28" s="2">
        <v>18</v>
      </c>
      <c r="G28" s="2">
        <v>550</v>
      </c>
      <c r="H28" s="2">
        <v>9900</v>
      </c>
    </row>
    <row r="29" spans="1:8" x14ac:dyDescent="0.3">
      <c r="A29" s="1">
        <v>27</v>
      </c>
      <c r="B29" s="5">
        <v>45942</v>
      </c>
      <c r="C29" s="2" t="s">
        <v>26</v>
      </c>
      <c r="D29" s="2" t="s">
        <v>5</v>
      </c>
      <c r="E29" s="2" t="s">
        <v>23</v>
      </c>
      <c r="F29" s="2">
        <v>28</v>
      </c>
      <c r="G29" s="2">
        <v>6500</v>
      </c>
      <c r="H29" s="2">
        <v>182000</v>
      </c>
    </row>
    <row r="30" spans="1:8" x14ac:dyDescent="0.3">
      <c r="A30" s="1">
        <v>28</v>
      </c>
      <c r="B30" s="5">
        <v>45943</v>
      </c>
      <c r="C30" s="2" t="s">
        <v>27</v>
      </c>
      <c r="D30" s="2" t="s">
        <v>4</v>
      </c>
      <c r="E30" s="2" t="s">
        <v>28</v>
      </c>
      <c r="F30" s="2">
        <v>45</v>
      </c>
      <c r="G30" s="2">
        <v>520</v>
      </c>
      <c r="H30" s="2">
        <v>23400</v>
      </c>
    </row>
    <row r="31" spans="1:8" x14ac:dyDescent="0.3">
      <c r="A31" s="1">
        <v>29</v>
      </c>
      <c r="B31" s="5">
        <v>45944</v>
      </c>
      <c r="C31" s="2" t="s">
        <v>29</v>
      </c>
      <c r="D31" s="2" t="s">
        <v>2</v>
      </c>
      <c r="E31" s="2" t="s">
        <v>15</v>
      </c>
      <c r="F31" s="2">
        <v>30</v>
      </c>
      <c r="G31" s="2">
        <v>60</v>
      </c>
      <c r="H31" s="2">
        <v>1800</v>
      </c>
    </row>
    <row r="32" spans="1:8" x14ac:dyDescent="0.3">
      <c r="A32" s="1">
        <v>30</v>
      </c>
      <c r="B32" s="5">
        <v>45945</v>
      </c>
      <c r="C32" s="2" t="s">
        <v>30</v>
      </c>
      <c r="D32" s="2" t="s">
        <v>2</v>
      </c>
      <c r="E32" s="2" t="s">
        <v>17</v>
      </c>
      <c r="F32" s="2">
        <v>40</v>
      </c>
      <c r="G32" s="2">
        <v>580</v>
      </c>
      <c r="H32" s="2">
        <v>23200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80393-84B4-4B36-8E44-1D64C9F59927}">
  <dimension ref="A1"/>
  <sheetViews>
    <sheetView showGridLines="0" tabSelected="1" topLeftCell="A3" zoomScale="97" zoomScaleNormal="97"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ABOUT 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Sohini Acharjee</dc:creator>
  <cp:lastModifiedBy>Sohini Acharjee</cp:lastModifiedBy>
  <dcterms:created xsi:type="dcterms:W3CDTF">2026-07-05T09:40:27Z</dcterms:created>
  <dcterms:modified xsi:type="dcterms:W3CDTF">2026-07-12T14:59:31Z</dcterms:modified>
</cp:coreProperties>
</file>